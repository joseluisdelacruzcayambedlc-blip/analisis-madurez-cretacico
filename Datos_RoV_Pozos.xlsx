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Analisis de datos para tesis\"/>
    </mc:Choice>
  </mc:AlternateContent>
  <xr:revisionPtr revIDLastSave="0" documentId="13_ncr:1_{3C3EDDC8-32D9-4C57-857B-CE193B62BE6B}" xr6:coauthVersionLast="47" xr6:coauthVersionMax="47" xr10:uidLastSave="{00000000-0000-0000-0000-000000000000}"/>
  <bookViews>
    <workbookView xWindow="-108" yWindow="-108" windowWidth="23256" windowHeight="12456" xr2:uid="{2F7030D3-92C4-4116-99D1-F1279DC5012A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7" i="1"/>
  <c r="E58" i="1"/>
  <c r="E59" i="1"/>
  <c r="E60" i="1"/>
  <c r="E61" i="1"/>
  <c r="E62" i="1"/>
  <c r="E63" i="1"/>
  <c r="E64" i="1"/>
  <c r="E65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02" i="1"/>
  <c r="E103" i="1"/>
  <c r="E104" i="1"/>
  <c r="E105" i="1"/>
  <c r="E106" i="1"/>
  <c r="E107" i="1"/>
  <c r="E108" i="1"/>
  <c r="E109" i="1"/>
  <c r="E110" i="1"/>
  <c r="E112" i="1"/>
  <c r="E113" i="1"/>
  <c r="E120" i="1"/>
  <c r="E121" i="1"/>
  <c r="E128" i="1"/>
  <c r="E129" i="1"/>
  <c r="E130" i="1"/>
  <c r="E131" i="1"/>
  <c r="E132" i="1"/>
  <c r="E133" i="1"/>
  <c r="E134" i="1"/>
  <c r="E135" i="1"/>
  <c r="E136" i="1"/>
  <c r="E143" i="1"/>
  <c r="E144" i="1"/>
  <c r="E145" i="1"/>
  <c r="E146" i="1"/>
  <c r="E147" i="1"/>
  <c r="E148" i="1"/>
  <c r="E149" i="1"/>
  <c r="E157" i="1"/>
  <c r="E158" i="1"/>
  <c r="E159" i="1"/>
  <c r="E160" i="1"/>
  <c r="E161" i="1"/>
  <c r="E162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36" i="1"/>
  <c r="E237" i="1"/>
  <c r="E238" i="1"/>
  <c r="E239" i="1"/>
  <c r="E240" i="1"/>
  <c r="E241" i="1"/>
  <c r="E243" i="1"/>
  <c r="E244" i="1"/>
  <c r="E245" i="1"/>
  <c r="E246" i="1"/>
  <c r="E247" i="1"/>
  <c r="E248" i="1"/>
  <c r="E249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2" i="1"/>
  <c r="E283" i="1"/>
  <c r="E284" i="1"/>
  <c r="E285" i="1"/>
  <c r="E286" i="1"/>
  <c r="E287" i="1"/>
  <c r="E288" i="1"/>
  <c r="E292" i="1"/>
  <c r="E293" i="1"/>
  <c r="E300" i="1"/>
  <c r="E301" i="1"/>
  <c r="E302" i="1"/>
  <c r="E351" i="1"/>
  <c r="E352" i="1"/>
  <c r="E353" i="1"/>
  <c r="E354" i="1"/>
  <c r="B2" i="1" a="1"/>
  <c r="D3" i="1" s="1"/>
  <c r="C360" i="1"/>
  <c r="E360" i="1" s="1"/>
  <c r="B360" i="1"/>
  <c r="D360" i="1" s="1"/>
  <c r="C359" i="1"/>
  <c r="E359" i="1" s="1"/>
  <c r="B359" i="1"/>
  <c r="D359" i="1" s="1"/>
  <c r="C358" i="1"/>
  <c r="E358" i="1" s="1"/>
  <c r="B358" i="1"/>
  <c r="D358" i="1" s="1"/>
  <c r="C356" i="1" a="1"/>
  <c r="B356" i="1" a="1"/>
  <c r="C355" i="1"/>
  <c r="E355" i="1" s="1"/>
  <c r="B355" i="1"/>
  <c r="D355" i="1" s="1"/>
  <c r="B351" i="1" a="1"/>
  <c r="C350" i="1"/>
  <c r="E350" i="1" s="1"/>
  <c r="B350" i="1"/>
  <c r="D350" i="1" s="1"/>
  <c r="C348" i="1" a="1"/>
  <c r="B348" i="1" a="1"/>
  <c r="C347" i="1"/>
  <c r="E347" i="1" s="1"/>
  <c r="B347" i="1"/>
  <c r="D347" i="1" s="1"/>
  <c r="C345" i="1" a="1"/>
  <c r="B345" i="1" a="1"/>
  <c r="C342" i="1" a="1"/>
  <c r="B342" i="1" a="1"/>
  <c r="C339" i="1" a="1"/>
  <c r="B339" i="1" a="1"/>
  <c r="C336" i="1" a="1"/>
  <c r="B336" i="1" a="1"/>
  <c r="C334" i="1" a="1"/>
  <c r="B334" i="1" a="1"/>
  <c r="C331" i="1" a="1"/>
  <c r="B331" i="1" a="1"/>
  <c r="C330" i="1"/>
  <c r="E330" i="1" s="1"/>
  <c r="B330" i="1"/>
  <c r="D330" i="1" s="1"/>
  <c r="C325" i="1" a="1"/>
  <c r="B325" i="1" a="1"/>
  <c r="C322" i="1" a="1"/>
  <c r="B322" i="1" a="1"/>
  <c r="C315" i="1" a="1"/>
  <c r="B315" i="1" a="1"/>
  <c r="C314" i="1"/>
  <c r="E314" i="1" s="1"/>
  <c r="B314" i="1"/>
  <c r="D314" i="1" s="1"/>
  <c r="C313" i="1"/>
  <c r="E313" i="1" s="1"/>
  <c r="B313" i="1"/>
  <c r="D313" i="1" s="1"/>
  <c r="C304" i="1" a="1"/>
  <c r="B304" i="1" a="1"/>
  <c r="C303" i="1"/>
  <c r="E303" i="1" s="1"/>
  <c r="B300" i="1" a="1"/>
  <c r="C297" i="1" a="1"/>
  <c r="B297" i="1" a="1"/>
  <c r="C295" i="1" a="1"/>
  <c r="B295" i="1" a="1"/>
  <c r="C294" i="1"/>
  <c r="E294" i="1" s="1"/>
  <c r="B294" i="1"/>
  <c r="D294" i="1" s="1"/>
  <c r="C291" i="1"/>
  <c r="E291" i="1" s="1"/>
  <c r="B291" i="1" a="1"/>
  <c r="C289" i="1" a="1"/>
  <c r="B289" i="1" a="1"/>
  <c r="B286" i="1" a="1"/>
  <c r="B282" i="1" a="1"/>
  <c r="C281" i="1"/>
  <c r="E281" i="1" s="1"/>
  <c r="B281" i="1"/>
  <c r="D281" i="1" s="1"/>
  <c r="C280" i="1"/>
  <c r="E280" i="1" s="1"/>
  <c r="B280" i="1"/>
  <c r="D280" i="1" s="1"/>
  <c r="B277" i="1" a="1"/>
  <c r="B275" i="1" a="1"/>
  <c r="B271" i="1" a="1"/>
  <c r="B265" i="1" a="1"/>
  <c r="B252" i="1" a="1"/>
  <c r="C251" i="1"/>
  <c r="E251" i="1" s="1"/>
  <c r="B251" i="1"/>
  <c r="D251" i="1" s="1"/>
  <c r="C250" i="1"/>
  <c r="E250" i="1" s="1"/>
  <c r="B250" i="1"/>
  <c r="D250" i="1" s="1"/>
  <c r="B243" i="1" a="1"/>
  <c r="C242" i="1"/>
  <c r="E242" i="1" s="1"/>
  <c r="B242" i="1"/>
  <c r="D242" i="1" s="1"/>
  <c r="B236" i="1" a="1"/>
  <c r="C235" i="1"/>
  <c r="E235" i="1" s="1"/>
  <c r="B235" i="1"/>
  <c r="D235" i="1" s="1"/>
  <c r="C234" i="1"/>
  <c r="E234" i="1" s="1"/>
  <c r="B234" i="1"/>
  <c r="D234" i="1" s="1"/>
  <c r="C233" i="1"/>
  <c r="E233" i="1" s="1"/>
  <c r="B233" i="1"/>
  <c r="D233" i="1" s="1"/>
  <c r="C230" i="1" a="1"/>
  <c r="B230" i="1" a="1"/>
  <c r="C228" i="1" a="1"/>
  <c r="B228" i="1" a="1"/>
  <c r="B215" i="1" a="1"/>
  <c r="B209" i="1" a="1"/>
  <c r="B206" i="1" a="1"/>
  <c r="C205" i="1"/>
  <c r="E205" i="1" s="1"/>
  <c r="B205" i="1"/>
  <c r="D205" i="1" s="1"/>
  <c r="C202" i="1" a="1"/>
  <c r="B202" i="1" a="1"/>
  <c r="C201" i="1"/>
  <c r="E201" i="1" s="1"/>
  <c r="B201" i="1"/>
  <c r="D201" i="1" s="1"/>
  <c r="B197" i="1" a="1"/>
  <c r="B189" i="1" a="1"/>
  <c r="B184" i="1" a="1"/>
  <c r="B176" i="1" a="1"/>
  <c r="B164" i="1" a="1"/>
  <c r="C163" i="1"/>
  <c r="E163" i="1" s="1"/>
  <c r="B163" i="1"/>
  <c r="D163" i="1" s="1"/>
  <c r="B157" i="1" a="1"/>
  <c r="C156" i="1"/>
  <c r="E156" i="1" s="1"/>
  <c r="B156" i="1"/>
  <c r="D156" i="1" s="1"/>
  <c r="C154" i="1" a="1"/>
  <c r="B154" i="1" a="1"/>
  <c r="C153" i="1"/>
  <c r="E153" i="1" s="1"/>
  <c r="B153" i="1"/>
  <c r="D153" i="1" s="1"/>
  <c r="C152" i="1"/>
  <c r="E152" i="1" s="1"/>
  <c r="B152" i="1"/>
  <c r="D152" i="1" s="1"/>
  <c r="C151" i="1"/>
  <c r="E151" i="1" s="1"/>
  <c r="B151" i="1"/>
  <c r="D151" i="1" s="1"/>
  <c r="C150" i="1"/>
  <c r="E150" i="1" s="1"/>
  <c r="B150" i="1"/>
  <c r="D150" i="1" s="1"/>
  <c r="B143" i="1" a="1"/>
  <c r="C142" i="1"/>
  <c r="E142" i="1" s="1"/>
  <c r="B142" i="1"/>
  <c r="D142" i="1" s="1"/>
  <c r="C141" i="1"/>
  <c r="E141" i="1" s="1"/>
  <c r="B141" i="1"/>
  <c r="D141" i="1" s="1"/>
  <c r="C140" i="1"/>
  <c r="E140" i="1" s="1"/>
  <c r="B140" i="1"/>
  <c r="D140" i="1" s="1"/>
  <c r="C137" i="1" a="1"/>
  <c r="B137" i="1" a="1"/>
  <c r="B128" i="1" a="1"/>
  <c r="C127" i="1"/>
  <c r="E127" i="1" s="1"/>
  <c r="B127" i="1"/>
  <c r="D127" i="1" s="1"/>
  <c r="C126" i="1"/>
  <c r="E126" i="1" s="1"/>
  <c r="B126" i="1"/>
  <c r="D126" i="1" s="1"/>
  <c r="C125" i="1"/>
  <c r="E125" i="1" s="1"/>
  <c r="B125" i="1"/>
  <c r="D125" i="1" s="1"/>
  <c r="C124" i="1"/>
  <c r="E124" i="1" s="1"/>
  <c r="B124" i="1"/>
  <c r="D124" i="1" s="1"/>
  <c r="C123" i="1"/>
  <c r="E123" i="1" s="1"/>
  <c r="B123" i="1"/>
  <c r="D123" i="1" s="1"/>
  <c r="C122" i="1"/>
  <c r="E122" i="1" s="1"/>
  <c r="B122" i="1"/>
  <c r="D122" i="1" s="1"/>
  <c r="B120" i="1" a="1"/>
  <c r="C119" i="1"/>
  <c r="E119" i="1" s="1"/>
  <c r="B119" i="1"/>
  <c r="D119" i="1" s="1"/>
  <c r="C118" i="1"/>
  <c r="E118" i="1" s="1"/>
  <c r="B118" i="1"/>
  <c r="D118" i="1" s="1"/>
  <c r="C117" i="1"/>
  <c r="E117" i="1" s="1"/>
  <c r="B117" i="1"/>
  <c r="D117" i="1" s="1"/>
  <c r="C116" i="1"/>
  <c r="E116" i="1" s="1"/>
  <c r="B116" i="1"/>
  <c r="D116" i="1" s="1"/>
  <c r="C114" i="1" a="1"/>
  <c r="B114" i="1" a="1"/>
  <c r="B112" i="1" a="1"/>
  <c r="C111" i="1"/>
  <c r="E111" i="1" s="1"/>
  <c r="B111" i="1"/>
  <c r="D111" i="1" s="1"/>
  <c r="B102" i="1" a="1"/>
  <c r="C101" i="1"/>
  <c r="E101" i="1" s="1"/>
  <c r="B101" i="1"/>
  <c r="D101" i="1" s="1"/>
  <c r="C100" i="1"/>
  <c r="E100" i="1" s="1"/>
  <c r="B100" i="1"/>
  <c r="D100" i="1" s="1"/>
  <c r="C99" i="1"/>
  <c r="E99" i="1" s="1"/>
  <c r="B99" i="1"/>
  <c r="D99" i="1" s="1"/>
  <c r="B98" i="1"/>
  <c r="D98" i="1" s="1"/>
  <c r="B77" i="1" a="1"/>
  <c r="B73" i="1" a="1"/>
  <c r="C72" i="1"/>
  <c r="E72" i="1" s="1"/>
  <c r="B72" i="1"/>
  <c r="D72" i="1" s="1"/>
  <c r="C70" i="1" a="1"/>
  <c r="B70" i="1" a="1"/>
  <c r="C67" i="1" a="1"/>
  <c r="B67" i="1" a="1"/>
  <c r="C66" i="1"/>
  <c r="E66" i="1" s="1"/>
  <c r="B66" i="1"/>
  <c r="D66" i="1" s="1"/>
  <c r="B59" i="1" a="1"/>
  <c r="B57" i="1" a="1"/>
  <c r="C56" i="1"/>
  <c r="E56" i="1" s="1"/>
  <c r="B56" i="1"/>
  <c r="D56" i="1" s="1"/>
  <c r="B41" i="1" a="1"/>
  <c r="C40" i="1"/>
  <c r="E40" i="1" s="1"/>
  <c r="B40" i="1"/>
  <c r="D40" i="1" s="1"/>
  <c r="C39" i="1"/>
  <c r="E39" i="1" s="1"/>
  <c r="B39" i="1"/>
  <c r="D39" i="1" s="1"/>
  <c r="B38" i="1"/>
  <c r="D38" i="1" s="1"/>
  <c r="C37" i="1"/>
  <c r="E37" i="1" s="1"/>
  <c r="B37" i="1"/>
  <c r="D37" i="1" s="1"/>
  <c r="C36" i="1"/>
  <c r="E36" i="1" s="1"/>
  <c r="B36" i="1"/>
  <c r="D36" i="1" s="1"/>
  <c r="C35" i="1"/>
  <c r="E35" i="1" s="1"/>
  <c r="B35" i="1"/>
  <c r="D35" i="1" s="1"/>
  <c r="C34" i="1"/>
  <c r="E34" i="1" s="1"/>
  <c r="B34" i="1"/>
  <c r="D34" i="1" s="1"/>
  <c r="C32" i="1" a="1"/>
  <c r="B32" i="1" a="1"/>
  <c r="C31" i="1"/>
  <c r="E31" i="1" s="1"/>
  <c r="B31" i="1"/>
  <c r="D31" i="1" s="1"/>
  <c r="C30" i="1"/>
  <c r="E30" i="1" s="1"/>
  <c r="B30" i="1"/>
  <c r="D30" i="1" s="1"/>
  <c r="C29" i="1"/>
  <c r="E29" i="1" s="1"/>
  <c r="B29" i="1"/>
  <c r="D29" i="1" s="1"/>
  <c r="C25" i="1" a="1"/>
  <c r="B25" i="1" a="1"/>
  <c r="C24" i="1"/>
  <c r="E24" i="1" s="1"/>
  <c r="B24" i="1"/>
  <c r="D24" i="1" s="1"/>
  <c r="C18" i="1" a="1"/>
  <c r="B18" i="1" a="1"/>
  <c r="C15" i="1" a="1"/>
  <c r="B15" i="1" a="1"/>
  <c r="C13" i="1" a="1"/>
  <c r="B13" i="1" a="1"/>
  <c r="C11" i="1" a="1"/>
  <c r="B11" i="1" a="1"/>
  <c r="C9" i="1" a="1"/>
  <c r="B9" i="1" a="1"/>
  <c r="C8" i="1"/>
  <c r="E8" i="1" s="1"/>
  <c r="B8" i="1"/>
  <c r="D8" i="1" s="1"/>
  <c r="C7" i="1"/>
  <c r="E7" i="1" s="1"/>
  <c r="B7" i="1"/>
  <c r="D7" i="1" s="1"/>
  <c r="C6" i="1"/>
  <c r="E6" i="1" s="1"/>
  <c r="B6" i="1"/>
  <c r="D6" i="1" s="1"/>
  <c r="C4" i="1" a="1"/>
  <c r="B4" i="1" a="1"/>
  <c r="C2" i="1" a="1"/>
  <c r="E357" i="1" l="1"/>
  <c r="E356" i="1"/>
  <c r="E348" i="1"/>
  <c r="E349" i="1"/>
  <c r="E345" i="1"/>
  <c r="E346" i="1"/>
  <c r="E343" i="1"/>
  <c r="E344" i="1"/>
  <c r="E342" i="1"/>
  <c r="E341" i="1"/>
  <c r="E340" i="1"/>
  <c r="E339" i="1"/>
  <c r="E338" i="1"/>
  <c r="E336" i="1"/>
  <c r="E337" i="1"/>
  <c r="E334" i="1"/>
  <c r="E335" i="1"/>
  <c r="E331" i="1"/>
  <c r="E332" i="1"/>
  <c r="E333" i="1"/>
  <c r="E327" i="1"/>
  <c r="E329" i="1"/>
  <c r="E325" i="1"/>
  <c r="E328" i="1"/>
  <c r="E326" i="1"/>
  <c r="E323" i="1"/>
  <c r="E324" i="1"/>
  <c r="E322" i="1"/>
  <c r="E320" i="1"/>
  <c r="E316" i="1"/>
  <c r="E321" i="1"/>
  <c r="E318" i="1"/>
  <c r="E319" i="1"/>
  <c r="E315" i="1"/>
  <c r="E317" i="1"/>
  <c r="E305" i="1"/>
  <c r="E307" i="1"/>
  <c r="E308" i="1"/>
  <c r="E312" i="1"/>
  <c r="E311" i="1"/>
  <c r="E309" i="1"/>
  <c r="E306" i="1"/>
  <c r="E304" i="1"/>
  <c r="E310" i="1"/>
  <c r="E298" i="1"/>
  <c r="E297" i="1"/>
  <c r="E299" i="1"/>
  <c r="E296" i="1"/>
  <c r="E295" i="1"/>
  <c r="E289" i="1"/>
  <c r="E290" i="1"/>
  <c r="E230" i="1"/>
  <c r="E231" i="1"/>
  <c r="E232" i="1"/>
  <c r="E229" i="1"/>
  <c r="E228" i="1"/>
  <c r="E204" i="1"/>
  <c r="E202" i="1"/>
  <c r="E203" i="1"/>
  <c r="E154" i="1"/>
  <c r="E155" i="1"/>
  <c r="E137" i="1"/>
  <c r="E138" i="1"/>
  <c r="E139" i="1"/>
  <c r="E114" i="1"/>
  <c r="E115" i="1"/>
  <c r="E71" i="1"/>
  <c r="E70" i="1"/>
  <c r="E69" i="1"/>
  <c r="E68" i="1"/>
  <c r="E67" i="1"/>
  <c r="E32" i="1"/>
  <c r="E33" i="1"/>
  <c r="E28" i="1"/>
  <c r="E26" i="1"/>
  <c r="E27" i="1"/>
  <c r="E25" i="1"/>
  <c r="E22" i="1"/>
  <c r="E20" i="1"/>
  <c r="E18" i="1"/>
  <c r="E23" i="1"/>
  <c r="E21" i="1"/>
  <c r="E19" i="1"/>
  <c r="E15" i="1"/>
  <c r="E16" i="1"/>
  <c r="E17" i="1"/>
  <c r="E13" i="1"/>
  <c r="E14" i="1"/>
  <c r="E11" i="1"/>
  <c r="E12" i="1"/>
  <c r="E9" i="1"/>
  <c r="E10" i="1"/>
  <c r="E4" i="1"/>
  <c r="E5" i="1"/>
  <c r="E3" i="1"/>
  <c r="E2" i="1"/>
  <c r="D357" i="1"/>
  <c r="D356" i="1"/>
  <c r="D351" i="1"/>
  <c r="D353" i="1"/>
  <c r="D352" i="1"/>
  <c r="D354" i="1"/>
  <c r="D349" i="1"/>
  <c r="D348" i="1"/>
  <c r="D346" i="1"/>
  <c r="D345" i="1"/>
  <c r="D344" i="1"/>
  <c r="D343" i="1"/>
  <c r="D342" i="1"/>
  <c r="D341" i="1"/>
  <c r="D339" i="1"/>
  <c r="D340" i="1"/>
  <c r="D338" i="1"/>
  <c r="D337" i="1"/>
  <c r="D336" i="1"/>
  <c r="D334" i="1"/>
  <c r="D335" i="1"/>
  <c r="D331" i="1"/>
  <c r="D332" i="1"/>
  <c r="D333" i="1"/>
  <c r="D327" i="1"/>
  <c r="D328" i="1"/>
  <c r="D329" i="1"/>
  <c r="D326" i="1"/>
  <c r="D324" i="1"/>
  <c r="D323" i="1"/>
  <c r="D322" i="1"/>
  <c r="D315" i="1"/>
  <c r="D316" i="1"/>
  <c r="D320" i="1"/>
  <c r="D317" i="1"/>
  <c r="D318" i="1"/>
  <c r="D319" i="1"/>
  <c r="D321" i="1"/>
  <c r="D306" i="1"/>
  <c r="D305" i="1"/>
  <c r="D304" i="1"/>
  <c r="D308" i="1"/>
  <c r="D310" i="1"/>
  <c r="D312" i="1"/>
  <c r="D311" i="1"/>
  <c r="D309" i="1"/>
  <c r="D307" i="1"/>
  <c r="D302" i="1"/>
  <c r="D300" i="1"/>
  <c r="D303" i="1"/>
  <c r="D301" i="1"/>
  <c r="D299" i="1"/>
  <c r="D298" i="1"/>
  <c r="D297" i="1"/>
  <c r="D296" i="1"/>
  <c r="D295" i="1"/>
  <c r="D293" i="1"/>
  <c r="D292" i="1"/>
  <c r="D291" i="1"/>
  <c r="D290" i="1"/>
  <c r="D289" i="1"/>
  <c r="D286" i="1"/>
  <c r="D287" i="1"/>
  <c r="D288" i="1"/>
  <c r="D282" i="1"/>
  <c r="D284" i="1"/>
  <c r="D283" i="1"/>
  <c r="D285" i="1"/>
  <c r="D279" i="1"/>
  <c r="D278" i="1"/>
  <c r="D277" i="1"/>
  <c r="D276" i="1"/>
  <c r="D275" i="1"/>
  <c r="D271" i="1"/>
  <c r="D273" i="1"/>
  <c r="D272" i="1"/>
  <c r="D274" i="1"/>
  <c r="D270" i="1"/>
  <c r="D267" i="1"/>
  <c r="D265" i="1"/>
  <c r="D268" i="1"/>
  <c r="D269" i="1"/>
  <c r="D266" i="1"/>
  <c r="D257" i="1"/>
  <c r="D254" i="1"/>
  <c r="D253" i="1"/>
  <c r="D252" i="1"/>
  <c r="D264" i="1"/>
  <c r="D256" i="1"/>
  <c r="D258" i="1"/>
  <c r="D259" i="1"/>
  <c r="D260" i="1"/>
  <c r="D255" i="1"/>
  <c r="D261" i="1"/>
  <c r="D262" i="1"/>
  <c r="D263" i="1"/>
  <c r="D249" i="1"/>
  <c r="D245" i="1"/>
  <c r="D244" i="1"/>
  <c r="D246" i="1"/>
  <c r="D248" i="1"/>
  <c r="D243" i="1"/>
  <c r="D247" i="1"/>
  <c r="D237" i="1"/>
  <c r="D239" i="1"/>
  <c r="D238" i="1"/>
  <c r="D240" i="1"/>
  <c r="D241" i="1"/>
  <c r="D236" i="1"/>
  <c r="D231" i="1"/>
  <c r="D232" i="1"/>
  <c r="D230" i="1"/>
  <c r="D229" i="1"/>
  <c r="D228" i="1"/>
  <c r="D215" i="1"/>
  <c r="D223" i="1"/>
  <c r="D226" i="1"/>
  <c r="D221" i="1"/>
  <c r="D218" i="1"/>
  <c r="D217" i="1"/>
  <c r="D222" i="1"/>
  <c r="D219" i="1"/>
  <c r="D216" i="1"/>
  <c r="D220" i="1"/>
  <c r="D227" i="1"/>
  <c r="D225" i="1"/>
  <c r="D224" i="1"/>
  <c r="D209" i="1"/>
  <c r="D212" i="1"/>
  <c r="D211" i="1"/>
  <c r="D213" i="1"/>
  <c r="D214" i="1"/>
  <c r="D210" i="1"/>
  <c r="D208" i="1"/>
  <c r="D206" i="1"/>
  <c r="D207" i="1"/>
  <c r="D203" i="1"/>
  <c r="D202" i="1"/>
  <c r="D204" i="1"/>
  <c r="D199" i="1"/>
  <c r="D200" i="1"/>
  <c r="D198" i="1"/>
  <c r="D197" i="1"/>
  <c r="D189" i="1"/>
  <c r="D194" i="1"/>
  <c r="D193" i="1"/>
  <c r="D192" i="1"/>
  <c r="D196" i="1"/>
  <c r="D191" i="1"/>
  <c r="D195" i="1"/>
  <c r="D190" i="1"/>
  <c r="D184" i="1"/>
  <c r="D187" i="1"/>
  <c r="D188" i="1"/>
  <c r="D186" i="1"/>
  <c r="D185" i="1"/>
  <c r="D176" i="1"/>
  <c r="D179" i="1"/>
  <c r="D181" i="1"/>
  <c r="D183" i="1"/>
  <c r="D178" i="1"/>
  <c r="D177" i="1"/>
  <c r="D180" i="1"/>
  <c r="D182" i="1"/>
  <c r="D175" i="1"/>
  <c r="D173" i="1"/>
  <c r="D172" i="1"/>
  <c r="D169" i="1"/>
  <c r="D166" i="1"/>
  <c r="D167" i="1"/>
  <c r="D170" i="1"/>
  <c r="D171" i="1"/>
  <c r="D174" i="1"/>
  <c r="D164" i="1"/>
  <c r="D168" i="1"/>
  <c r="D165" i="1"/>
  <c r="D157" i="1"/>
  <c r="D158" i="1"/>
  <c r="D160" i="1"/>
  <c r="D161" i="1"/>
  <c r="D159" i="1"/>
  <c r="D162" i="1"/>
  <c r="D154" i="1"/>
  <c r="D155" i="1"/>
  <c r="D144" i="1"/>
  <c r="D145" i="1"/>
  <c r="D146" i="1"/>
  <c r="D147" i="1"/>
  <c r="D149" i="1"/>
  <c r="D143" i="1"/>
  <c r="D148" i="1"/>
  <c r="D139" i="1"/>
  <c r="D137" i="1"/>
  <c r="D138" i="1"/>
  <c r="D136" i="1"/>
  <c r="D135" i="1"/>
  <c r="D134" i="1"/>
  <c r="D132" i="1"/>
  <c r="D131" i="1"/>
  <c r="D130" i="1"/>
  <c r="D129" i="1"/>
  <c r="D133" i="1"/>
  <c r="D128" i="1"/>
  <c r="D120" i="1"/>
  <c r="D121" i="1"/>
  <c r="D114" i="1"/>
  <c r="D115" i="1"/>
  <c r="D112" i="1"/>
  <c r="D113" i="1"/>
  <c r="D109" i="1"/>
  <c r="D108" i="1"/>
  <c r="D107" i="1"/>
  <c r="D106" i="1"/>
  <c r="D105" i="1"/>
  <c r="D104" i="1"/>
  <c r="D102" i="1"/>
  <c r="D103" i="1"/>
  <c r="D110" i="1"/>
  <c r="D94" i="1"/>
  <c r="D93" i="1"/>
  <c r="D92" i="1"/>
  <c r="D91" i="1"/>
  <c r="D79" i="1"/>
  <c r="D77" i="1"/>
  <c r="D81" i="1"/>
  <c r="D80" i="1"/>
  <c r="D78" i="1"/>
  <c r="D97" i="1"/>
  <c r="D88" i="1"/>
  <c r="D87" i="1"/>
  <c r="D86" i="1"/>
  <c r="D85" i="1"/>
  <c r="D84" i="1"/>
  <c r="D83" i="1"/>
  <c r="D90" i="1"/>
  <c r="D82" i="1"/>
  <c r="D96" i="1"/>
  <c r="D95" i="1"/>
  <c r="D89" i="1"/>
  <c r="D74" i="1"/>
  <c r="D75" i="1"/>
  <c r="D73" i="1"/>
  <c r="D76" i="1"/>
  <c r="D71" i="1"/>
  <c r="D70" i="1"/>
  <c r="D67" i="1"/>
  <c r="D69" i="1"/>
  <c r="D68" i="1"/>
  <c r="D65" i="1"/>
  <c r="D64" i="1"/>
  <c r="D63" i="1"/>
  <c r="D61" i="1"/>
  <c r="D62" i="1"/>
  <c r="D59" i="1"/>
  <c r="D60" i="1"/>
  <c r="D58" i="1"/>
  <c r="D57" i="1"/>
  <c r="D43" i="1"/>
  <c r="D49" i="1"/>
  <c r="D46" i="1"/>
  <c r="D52" i="1"/>
  <c r="D45" i="1"/>
  <c r="D53" i="1"/>
  <c r="D42" i="1"/>
  <c r="D55" i="1"/>
  <c r="D54" i="1"/>
  <c r="D44" i="1"/>
  <c r="D47" i="1"/>
  <c r="D41" i="1"/>
  <c r="D50" i="1"/>
  <c r="D51" i="1"/>
  <c r="D48" i="1"/>
  <c r="D33" i="1"/>
  <c r="D32" i="1"/>
  <c r="D26" i="1"/>
  <c r="D27" i="1"/>
  <c r="D28" i="1"/>
  <c r="D25" i="1"/>
  <c r="D22" i="1"/>
  <c r="D18" i="1"/>
  <c r="D21" i="1"/>
  <c r="D23" i="1"/>
  <c r="D20" i="1"/>
  <c r="D19" i="1"/>
  <c r="D16" i="1"/>
  <c r="D15" i="1"/>
  <c r="D17" i="1"/>
  <c r="D14" i="1"/>
  <c r="D13" i="1"/>
  <c r="D12" i="1"/>
  <c r="D11" i="1"/>
  <c r="D10" i="1"/>
  <c r="D9" i="1"/>
  <c r="D4" i="1"/>
  <c r="D5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<sst xmlns="http://schemas.openxmlformats.org/spreadsheetml/2006/main" count="444" uniqueCount="105">
  <si>
    <t>Nombre del pozo</t>
  </si>
  <si>
    <t>Play petrolero</t>
  </si>
  <si>
    <t>Madurez Térmica</t>
  </si>
  <si>
    <t>Bermejo Norte-0016</t>
  </si>
  <si>
    <t>Bermejo Sur-0001</t>
  </si>
  <si>
    <t>Bermejo Sur-0007</t>
  </si>
  <si>
    <t>Bermejo Sur-0009</t>
  </si>
  <si>
    <t>Bermejo Sur-0004</t>
  </si>
  <si>
    <t>Bermejo Sur-0002</t>
  </si>
  <si>
    <t>Pungarayacu-0030</t>
  </si>
  <si>
    <t>Yuralpa centro-0001</t>
  </si>
  <si>
    <t>Tzapino-0001</t>
  </si>
  <si>
    <t>Toro-0001</t>
  </si>
  <si>
    <t>Charapa-0004</t>
  </si>
  <si>
    <t>Charapa-0003</t>
  </si>
  <si>
    <t>Lago Agrio-0037</t>
  </si>
  <si>
    <t>Biguno-0001</t>
  </si>
  <si>
    <t>Huachito-0001</t>
  </si>
  <si>
    <t>Payamino-0001</t>
  </si>
  <si>
    <t>Sacha-0129</t>
  </si>
  <si>
    <t>Sacha-0133</t>
  </si>
  <si>
    <t>Sacha-0126</t>
  </si>
  <si>
    <t>Sacha-0130</t>
  </si>
  <si>
    <t>Sacha-0122</t>
  </si>
  <si>
    <t>Sacha-0146</t>
  </si>
  <si>
    <t>Peña Blanca-0001</t>
  </si>
  <si>
    <t>Tetete-0003</t>
  </si>
  <si>
    <t>Tetete-0001</t>
  </si>
  <si>
    <t>Ocano-0001</t>
  </si>
  <si>
    <t>Pacayacu-0005</t>
  </si>
  <si>
    <t>Shuara-0004</t>
  </si>
  <si>
    <t>Secoya Oeste-0001</t>
  </si>
  <si>
    <t>Secoya-0027</t>
  </si>
  <si>
    <t>Secoya-0024</t>
  </si>
  <si>
    <t>Aguarico-0010</t>
  </si>
  <si>
    <t>Shushufindi-0070</t>
  </si>
  <si>
    <t>Shushufindi-0086</t>
  </si>
  <si>
    <t>Shushufindi-H0015B</t>
  </si>
  <si>
    <t>Limoncocha-0009</t>
  </si>
  <si>
    <t>Limoncocha-0002</t>
  </si>
  <si>
    <t>Yulebra-0005</t>
  </si>
  <si>
    <t>Yuca-0010</t>
  </si>
  <si>
    <t>Anaconda-0001</t>
  </si>
  <si>
    <t>Palanda-0001</t>
  </si>
  <si>
    <t>Puma-0002</t>
  </si>
  <si>
    <t>Pindo Norte-0001</t>
  </si>
  <si>
    <t>Auca-0025</t>
  </si>
  <si>
    <t>Auca-0020</t>
  </si>
  <si>
    <t>Conga Sur-0001</t>
  </si>
  <si>
    <t>Armadillo-0001</t>
  </si>
  <si>
    <t>Rumiyacu-0001</t>
  </si>
  <si>
    <t>Cononaco-0025</t>
  </si>
  <si>
    <t>Cononaco-0017</t>
  </si>
  <si>
    <t>Cononaco-0004</t>
  </si>
  <si>
    <t>Tiguino-0005</t>
  </si>
  <si>
    <t>Tiguino-0006</t>
  </si>
  <si>
    <t>VHR-0006</t>
  </si>
  <si>
    <t>VHR-0003</t>
  </si>
  <si>
    <t>Alama-0001</t>
  </si>
  <si>
    <t>Sansahuari-0001</t>
  </si>
  <si>
    <t>Sansahuari-0011</t>
  </si>
  <si>
    <t>Cuyabeno-0023</t>
  </si>
  <si>
    <t>Cuyabeno-0002</t>
  </si>
  <si>
    <t>Siona-0001</t>
  </si>
  <si>
    <t>Pañacocha-0002</t>
  </si>
  <si>
    <t>Tangay-0001</t>
  </si>
  <si>
    <t>Paujil-0001</t>
  </si>
  <si>
    <t>Apaika-0019</t>
  </si>
  <si>
    <t>Dicaron-0001</t>
  </si>
  <si>
    <t>Cowi-0001</t>
  </si>
  <si>
    <t>Tiputini Shell-0001</t>
  </si>
  <si>
    <t>Tambococha-0001</t>
  </si>
  <si>
    <t>Ishpingo-0002</t>
  </si>
  <si>
    <t>Ishpingo-0001</t>
  </si>
  <si>
    <t>Manati-0001</t>
  </si>
  <si>
    <t>Shionayacu-0001</t>
  </si>
  <si>
    <t>Amazonas-0001</t>
  </si>
  <si>
    <t>Conambo-0001</t>
  </si>
  <si>
    <t>Huito-0001</t>
  </si>
  <si>
    <t>Marañon-0001</t>
  </si>
  <si>
    <t>Play oriental ITT</t>
  </si>
  <si>
    <t>Shushuqui-0001</t>
  </si>
  <si>
    <t>Unidad estratigráfica</t>
  </si>
  <si>
    <t>Hollín</t>
  </si>
  <si>
    <t>Arenisca U-Napo inferior</t>
  </si>
  <si>
    <t>Caliza B-Napo Inferior</t>
  </si>
  <si>
    <t>Caliza A-Napo Inferior</t>
  </si>
  <si>
    <t>Lutita U-Napo inferior</t>
  </si>
  <si>
    <t>Napo Inferior</t>
  </si>
  <si>
    <t>Arenisca T</t>
  </si>
  <si>
    <t>Napo</t>
  </si>
  <si>
    <t>-</t>
  </si>
  <si>
    <t>Arenisca T-Napo inferior</t>
  </si>
  <si>
    <t>Arenisca G2</t>
  </si>
  <si>
    <t>Napo Basal</t>
  </si>
  <si>
    <t>Caliza M2</t>
  </si>
  <si>
    <t xml:space="preserve"> -</t>
  </si>
  <si>
    <t xml:space="preserve"> - </t>
  </si>
  <si>
    <t>AreniscaT-Napo inferior</t>
  </si>
  <si>
    <t>Arenisca M1</t>
  </si>
  <si>
    <t>Napo Superior</t>
  </si>
  <si>
    <t>Arenisca M2</t>
  </si>
  <si>
    <t>Arenisca M2-Napo Medio</t>
  </si>
  <si>
    <t>Profundidad (pies)</t>
  </si>
  <si>
    <t>Reflectancia de vitrinita (%Rov)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</si>
</sst>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ceedu-my.sharepoint.com/personal/jldelacruz_uce_edu_ec/Documents/Escritorio/TESIS%20PETROECUADOR%20-%20CONTENIDO%20ORGANICO/Analsis%20de%20datos%20para%20tesis/2026_10_01__Ro__Probabilidades_Estadistica_DB_JdlC%20(version%202).xlsx" TargetMode="External"/><Relationship Id="rId2" Type="http://schemas.microsoft.com/office/2019/04/relationships/externalLinkLongPath" Target="https://uceedu-my.sharepoint.com/personal/jldelacruz_uce_edu_ec/Documents/Escritorio/TESIS%20PETROECUADOR%20-%20CONTENIDO%20ORGANICO/Analsis%20de%20datos%20para%20tesis/2026_10_01__Ro__Probabilidades_Estadistica_DB_JdlC%20(version%202).xlsx?0FC5B4E3" TargetMode="External"/><Relationship Id="rId1" Type="http://schemas.openxmlformats.org/officeDocument/2006/relationships/externalLinkPath" Target="file:///\\0FC5B4E3\2026_10_01__Ro__Probabilidades_Estadistica_DB_JdlC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oV_Depth_Post-K"/>
      <sheetName val="Bermejo Norte-0016"/>
      <sheetName val="Bermejo Sur-0001"/>
      <sheetName val="Bermejo Sur-0007"/>
      <sheetName val="Bermejo Sur-0009"/>
      <sheetName val="Bermejo Sur-0004"/>
      <sheetName val="Bermejo Sur-0002"/>
      <sheetName val="Pungarayacu-0030"/>
      <sheetName val="Hoja1"/>
      <sheetName val="Outcrops-Tena"/>
      <sheetName val="Yuralpa Centro-0001"/>
      <sheetName val="Sumino-0001"/>
      <sheetName val="Tzapino-0001"/>
      <sheetName val="Toro-0001"/>
      <sheetName val="Charapa-0004"/>
      <sheetName val="Charapa-0002"/>
      <sheetName val="Charapa-0003"/>
      <sheetName val="Lago Agrio-0037"/>
      <sheetName val="Biguno-0001"/>
      <sheetName val="Huachito-0001"/>
      <sheetName val="Payamino-0001"/>
      <sheetName val="Eno-0001"/>
      <sheetName val="Sacha-0129"/>
      <sheetName val="Sacha-0133"/>
      <sheetName val="Sacha-0126"/>
      <sheetName val="Sacha-0130"/>
      <sheetName val="Sacha-0122"/>
      <sheetName val="Sacha-0146"/>
      <sheetName val="Peña Blanca-0001"/>
      <sheetName val="Tetete-0003"/>
      <sheetName val="Tetete-0001"/>
      <sheetName val="Ocano-0001"/>
      <sheetName val="Pacayacu-0005"/>
      <sheetName val="Shushuqui-0001"/>
      <sheetName val="Shuara-0004"/>
      <sheetName val="Secoya Oeste-0001"/>
      <sheetName val="Secoya-0027"/>
      <sheetName val="Secoya-0024"/>
      <sheetName val="Aguarico-0010"/>
      <sheetName val="Shushufindi-0070"/>
      <sheetName val="Shushufindi-0086"/>
      <sheetName val="Shushufindi-H0015B"/>
      <sheetName val="Limoncocha-0009"/>
      <sheetName val="Limoncocha-0002"/>
      <sheetName val="Yulebra-0005"/>
      <sheetName val="Yuca-0010"/>
      <sheetName val="Anaconda-0001"/>
      <sheetName val="Palanda-0001"/>
      <sheetName val="Puma-0002"/>
      <sheetName val="Pindo Norte-0001"/>
      <sheetName val="Auca-0025"/>
      <sheetName val="Auca-0020"/>
      <sheetName val="Conga Sur-0001"/>
      <sheetName val="Armadillo-0001"/>
      <sheetName val="Rumiyacu-0001"/>
      <sheetName val="Cononaco-0025"/>
      <sheetName val="Cononaco-0017"/>
      <sheetName val="Cononaco-0004"/>
      <sheetName val="Tiguino-0005"/>
      <sheetName val="Tiguino-0006"/>
      <sheetName val="Aguila-0001"/>
      <sheetName val="VHR-0006"/>
      <sheetName val="VHR-0003"/>
      <sheetName val="Alama-0001"/>
      <sheetName val="Sansahuari-0001"/>
      <sheetName val="Sansahuari-0011"/>
      <sheetName val="Sansahuari-0010"/>
      <sheetName val="Cuyabeno-0023"/>
      <sheetName val="Cuyabeno-0002"/>
      <sheetName val="Siona-0001"/>
      <sheetName val="Pañacocha-0002"/>
      <sheetName val="Tangay-0001"/>
      <sheetName val="RoV_Depth__Filtered__VITRINITES"/>
      <sheetName val="Paujil-0001"/>
      <sheetName val="Apaika-0019"/>
      <sheetName val="Dicaron-0001"/>
      <sheetName val="Cowi-0001"/>
      <sheetName val="Tiputini Shell-0001"/>
      <sheetName val="Tiputini-0001"/>
      <sheetName val="Tambococha-0001"/>
      <sheetName val="Ishpingo-0002"/>
      <sheetName val="Ishpingo-0001"/>
      <sheetName val="RoV_Depth__Raw"/>
      <sheetName val="Manati-0001"/>
      <sheetName val="Shionayacu-0001"/>
      <sheetName val="Amazonas-0001"/>
      <sheetName val="Conambo-0001"/>
      <sheetName val="Huito-0001"/>
      <sheetName val="Marañon-0001"/>
      <sheetName val="comas_puntos"/>
    </sheetNames>
    <sheetDataSet>
      <sheetData sheetId="0" refreshError="1"/>
      <sheetData sheetId="1">
        <row r="128">
          <cell r="B128">
            <v>4118</v>
          </cell>
          <cell r="C128">
            <v>0.70000000000000007</v>
          </cell>
        </row>
        <row r="129">
          <cell r="B129">
            <v>4126.5</v>
          </cell>
          <cell r="C129">
            <v>0.70500000000000007</v>
          </cell>
        </row>
      </sheetData>
      <sheetData sheetId="2">
        <row r="128">
          <cell r="B128">
            <v>4023</v>
          </cell>
          <cell r="C128">
            <v>0.6</v>
          </cell>
        </row>
        <row r="129">
          <cell r="B129">
            <v>4263</v>
          </cell>
          <cell r="C129">
            <v>0.65999999999999992</v>
          </cell>
        </row>
      </sheetData>
      <sheetData sheetId="3">
        <row r="128">
          <cell r="B128">
            <v>4897</v>
          </cell>
          <cell r="C128">
            <v>0.7742268041237117</v>
          </cell>
        </row>
      </sheetData>
      <sheetData sheetId="4">
        <row r="128">
          <cell r="B128">
            <v>4016</v>
          </cell>
          <cell r="C128">
            <v>0.74</v>
          </cell>
        </row>
      </sheetData>
      <sheetData sheetId="5">
        <row r="128">
          <cell r="B128">
            <v>3934</v>
          </cell>
          <cell r="C128">
            <v>0.72</v>
          </cell>
        </row>
      </sheetData>
      <sheetData sheetId="6">
        <row r="128">
          <cell r="B128">
            <v>3697</v>
          </cell>
          <cell r="C128">
            <v>0.50679999999999992</v>
          </cell>
        </row>
        <row r="129">
          <cell r="B129">
            <v>3892</v>
          </cell>
          <cell r="C129">
            <v>0.53</v>
          </cell>
        </row>
      </sheetData>
      <sheetData sheetId="7">
        <row r="134">
          <cell r="B134">
            <v>731.62731999999994</v>
          </cell>
          <cell r="C134">
            <v>0.37666666666666665</v>
          </cell>
        </row>
        <row r="135">
          <cell r="B135">
            <v>768.9960875999999</v>
          </cell>
          <cell r="C135">
            <v>0.42</v>
          </cell>
        </row>
        <row r="140">
          <cell r="B140">
            <v>869.75068400000009</v>
          </cell>
          <cell r="C140">
            <v>0.44</v>
          </cell>
        </row>
        <row r="141">
          <cell r="B141">
            <v>879.59320400000001</v>
          </cell>
          <cell r="C141">
            <v>0.45428571428571424</v>
          </cell>
        </row>
        <row r="143">
          <cell r="B143">
            <v>895.66931999999997</v>
          </cell>
          <cell r="C143">
            <v>0.45</v>
          </cell>
        </row>
        <row r="144">
          <cell r="B144">
            <v>908.00527839999995</v>
          </cell>
          <cell r="C144">
            <v>0.47400000000000003</v>
          </cell>
        </row>
        <row r="145">
          <cell r="B145">
            <v>928.08401919999994</v>
          </cell>
          <cell r="C145">
            <v>0.47285714285714281</v>
          </cell>
        </row>
        <row r="147">
          <cell r="B147">
            <v>947.17850799999997</v>
          </cell>
          <cell r="C147">
            <v>0.50375000000000003</v>
          </cell>
        </row>
        <row r="148">
          <cell r="B148">
            <v>996.39110799999992</v>
          </cell>
          <cell r="C148">
            <v>0.51636363636363636</v>
          </cell>
        </row>
        <row r="149">
          <cell r="B149">
            <v>1009.514468</v>
          </cell>
          <cell r="C149">
            <v>0.54272727272727284</v>
          </cell>
        </row>
        <row r="150">
          <cell r="B150">
            <v>1029.1995079999999</v>
          </cell>
          <cell r="C150">
            <v>0.58727272727272728</v>
          </cell>
        </row>
        <row r="151">
          <cell r="B151">
            <v>1049.0485900000001</v>
          </cell>
          <cell r="C151">
            <v>0.59999999999999987</v>
          </cell>
        </row>
        <row r="152">
          <cell r="B152">
            <v>1078.5433416000001</v>
          </cell>
          <cell r="C152">
            <v>0.61750000000000005</v>
          </cell>
        </row>
        <row r="154">
          <cell r="B154">
            <v>1106.627332</v>
          </cell>
          <cell r="C154">
            <v>0.65</v>
          </cell>
        </row>
        <row r="156">
          <cell r="B156">
            <v>1127.2966240000001</v>
          </cell>
          <cell r="C156">
            <v>0.66166666666666651</v>
          </cell>
        </row>
        <row r="157">
          <cell r="B157">
            <v>1139.1076479999999</v>
          </cell>
          <cell r="C157">
            <v>0.68</v>
          </cell>
        </row>
        <row r="158">
          <cell r="B158">
            <v>1159.77694</v>
          </cell>
          <cell r="C158">
            <v>0.69</v>
          </cell>
        </row>
        <row r="159">
          <cell r="B159">
            <v>1193.2415080000001</v>
          </cell>
          <cell r="C159">
            <v>0.69400000000000006</v>
          </cell>
        </row>
        <row r="161">
          <cell r="B161">
            <v>1220.4724799999999</v>
          </cell>
          <cell r="C161">
            <v>0.72000000000000008</v>
          </cell>
        </row>
        <row r="166">
          <cell r="B166">
            <v>1289.37012</v>
          </cell>
          <cell r="C166">
            <v>0.74</v>
          </cell>
        </row>
      </sheetData>
      <sheetData sheetId="8"/>
      <sheetData sheetId="9"/>
      <sheetData sheetId="10">
        <row r="128">
          <cell r="B128">
            <v>6755</v>
          </cell>
          <cell r="C128">
            <v>0.5575</v>
          </cell>
        </row>
        <row r="132">
          <cell r="B132">
            <v>7940</v>
          </cell>
          <cell r="C132">
            <v>0.69562499999999994</v>
          </cell>
        </row>
        <row r="133">
          <cell r="B133">
            <v>8100</v>
          </cell>
          <cell r="C133">
            <v>0.71</v>
          </cell>
        </row>
      </sheetData>
      <sheetData sheetId="11"/>
      <sheetData sheetId="12">
        <row r="130">
          <cell r="B130">
            <v>9469</v>
          </cell>
          <cell r="C130">
            <v>0.61</v>
          </cell>
        </row>
        <row r="133">
          <cell r="B133">
            <v>9670</v>
          </cell>
          <cell r="C133">
            <v>0.64</v>
          </cell>
        </row>
        <row r="136">
          <cell r="B136">
            <v>9968</v>
          </cell>
          <cell r="C136">
            <v>0.68</v>
          </cell>
        </row>
      </sheetData>
      <sheetData sheetId="13">
        <row r="132">
          <cell r="B132">
            <v>10770</v>
          </cell>
          <cell r="C132">
            <v>0.87</v>
          </cell>
        </row>
      </sheetData>
      <sheetData sheetId="14">
        <row r="131">
          <cell r="B131">
            <v>9748</v>
          </cell>
        </row>
        <row r="134">
          <cell r="B134">
            <v>9983</v>
          </cell>
          <cell r="C134">
            <v>0.66000000000000014</v>
          </cell>
        </row>
      </sheetData>
      <sheetData sheetId="15"/>
      <sheetData sheetId="16">
        <row r="129">
          <cell r="B129">
            <v>9947.7999999999993</v>
          </cell>
          <cell r="C129">
            <v>0.7</v>
          </cell>
        </row>
      </sheetData>
      <sheetData sheetId="17">
        <row r="128">
          <cell r="B128">
            <v>9447</v>
          </cell>
        </row>
        <row r="129">
          <cell r="B129">
            <v>9448</v>
          </cell>
        </row>
        <row r="130">
          <cell r="B130">
            <v>9450</v>
          </cell>
        </row>
        <row r="131">
          <cell r="B131">
            <v>9451</v>
          </cell>
        </row>
        <row r="132">
          <cell r="B132">
            <v>9454</v>
          </cell>
        </row>
        <row r="133">
          <cell r="B133">
            <v>9460</v>
          </cell>
        </row>
        <row r="134">
          <cell r="B134">
            <v>9461</v>
          </cell>
        </row>
        <row r="135">
          <cell r="B135">
            <v>9462</v>
          </cell>
        </row>
        <row r="136">
          <cell r="B136">
            <v>9464</v>
          </cell>
        </row>
        <row r="137">
          <cell r="B137">
            <v>9467</v>
          </cell>
        </row>
        <row r="138">
          <cell r="B138">
            <v>9470</v>
          </cell>
        </row>
        <row r="139">
          <cell r="B139">
            <v>9473.5</v>
          </cell>
        </row>
        <row r="140">
          <cell r="B140">
            <v>9478</v>
          </cell>
        </row>
        <row r="141">
          <cell r="B141">
            <v>9482</v>
          </cell>
        </row>
        <row r="142">
          <cell r="B142">
            <v>9484</v>
          </cell>
        </row>
        <row r="145">
          <cell r="B145">
            <v>9496</v>
          </cell>
          <cell r="C145">
            <v>0.65</v>
          </cell>
        </row>
      </sheetData>
      <sheetData sheetId="18">
        <row r="128">
          <cell r="B128">
            <v>9551</v>
          </cell>
        </row>
        <row r="129">
          <cell r="B129">
            <v>9554</v>
          </cell>
        </row>
      </sheetData>
      <sheetData sheetId="19">
        <row r="128">
          <cell r="B128">
            <v>9430</v>
          </cell>
        </row>
        <row r="129">
          <cell r="B129">
            <v>9483</v>
          </cell>
        </row>
        <row r="130">
          <cell r="B130">
            <v>9486</v>
          </cell>
        </row>
        <row r="131">
          <cell r="B131">
            <v>9492</v>
          </cell>
        </row>
        <row r="132">
          <cell r="B132">
            <v>9495</v>
          </cell>
        </row>
        <row r="133">
          <cell r="B133">
            <v>9511</v>
          </cell>
        </row>
        <row r="134">
          <cell r="B134">
            <v>9521.5</v>
          </cell>
        </row>
      </sheetData>
      <sheetData sheetId="20">
        <row r="129">
          <cell r="B129">
            <v>8763.1</v>
          </cell>
          <cell r="C129">
            <v>0.5099999999999999</v>
          </cell>
        </row>
        <row r="135">
          <cell r="B135">
            <v>9271.7000000000007</v>
          </cell>
          <cell r="C135">
            <v>0.57000000000000006</v>
          </cell>
        </row>
        <row r="136">
          <cell r="B136">
            <v>9360.2000000000007</v>
          </cell>
          <cell r="C136">
            <v>0.57999999999999996</v>
          </cell>
        </row>
        <row r="137">
          <cell r="B137">
            <v>9547.2000000000007</v>
          </cell>
          <cell r="C137">
            <v>0.60999999999999988</v>
          </cell>
        </row>
      </sheetData>
      <sheetData sheetId="21"/>
      <sheetData sheetId="22">
        <row r="128">
          <cell r="B128">
            <v>9580</v>
          </cell>
          <cell r="C128">
            <v>0.66500000000000004</v>
          </cell>
        </row>
        <row r="129">
          <cell r="B129">
            <v>9607</v>
          </cell>
          <cell r="C129">
            <v>0.76333333333333331</v>
          </cell>
        </row>
        <row r="132">
          <cell r="B132">
            <v>9987</v>
          </cell>
          <cell r="C132">
            <v>0.93500000000000005</v>
          </cell>
        </row>
      </sheetData>
      <sheetData sheetId="23">
        <row r="129">
          <cell r="B129">
            <v>9708</v>
          </cell>
        </row>
        <row r="130">
          <cell r="B130">
            <v>9709</v>
          </cell>
        </row>
        <row r="131">
          <cell r="B131">
            <v>9710</v>
          </cell>
        </row>
        <row r="132">
          <cell r="B132">
            <v>9714</v>
          </cell>
        </row>
      </sheetData>
      <sheetData sheetId="24">
        <row r="128">
          <cell r="B128">
            <v>9425</v>
          </cell>
        </row>
        <row r="129">
          <cell r="B129">
            <v>9428</v>
          </cell>
        </row>
        <row r="130">
          <cell r="B130">
            <v>9435</v>
          </cell>
        </row>
        <row r="131">
          <cell r="B131">
            <v>9441</v>
          </cell>
        </row>
        <row r="132">
          <cell r="B132">
            <v>9445</v>
          </cell>
        </row>
        <row r="133">
          <cell r="B133">
            <v>9448.5</v>
          </cell>
        </row>
        <row r="134">
          <cell r="B134">
            <v>9453</v>
          </cell>
        </row>
        <row r="135">
          <cell r="B135">
            <v>9652</v>
          </cell>
        </row>
        <row r="136">
          <cell r="B136">
            <v>9657.5</v>
          </cell>
        </row>
        <row r="137">
          <cell r="B137">
            <v>9659</v>
          </cell>
        </row>
        <row r="138">
          <cell r="B138">
            <v>9663.5</v>
          </cell>
        </row>
        <row r="139">
          <cell r="B139">
            <v>9668.5</v>
          </cell>
        </row>
        <row r="140">
          <cell r="B140">
            <v>9673.5</v>
          </cell>
        </row>
        <row r="141">
          <cell r="B141">
            <v>9682</v>
          </cell>
        </row>
        <row r="142">
          <cell r="B142">
            <v>9828</v>
          </cell>
        </row>
        <row r="143">
          <cell r="B143">
            <v>9834.5</v>
          </cell>
        </row>
        <row r="144">
          <cell r="B144">
            <v>9851</v>
          </cell>
        </row>
        <row r="145">
          <cell r="B145">
            <v>9876</v>
          </cell>
        </row>
        <row r="146">
          <cell r="B146">
            <v>9878</v>
          </cell>
        </row>
        <row r="147">
          <cell r="B147">
            <v>9879</v>
          </cell>
        </row>
        <row r="148">
          <cell r="B148">
            <v>9880</v>
          </cell>
        </row>
      </sheetData>
      <sheetData sheetId="25">
        <row r="128">
          <cell r="B128">
            <v>9659</v>
          </cell>
        </row>
      </sheetData>
      <sheetData sheetId="26">
        <row r="128">
          <cell r="B128">
            <v>9863</v>
          </cell>
          <cell r="C128">
            <v>0.89</v>
          </cell>
        </row>
      </sheetData>
      <sheetData sheetId="27">
        <row r="129">
          <cell r="B129">
            <v>9450</v>
          </cell>
          <cell r="C129">
            <v>0.49000000000000005</v>
          </cell>
        </row>
        <row r="131">
          <cell r="B131">
            <v>9756</v>
          </cell>
          <cell r="C131">
            <v>0.7</v>
          </cell>
        </row>
        <row r="133">
          <cell r="B133">
            <v>9854</v>
          </cell>
        </row>
        <row r="134">
          <cell r="B134">
            <v>9871</v>
          </cell>
        </row>
        <row r="135">
          <cell r="B135">
            <v>9874</v>
          </cell>
        </row>
        <row r="136">
          <cell r="B136">
            <v>9877</v>
          </cell>
        </row>
        <row r="137">
          <cell r="B137">
            <v>9894</v>
          </cell>
        </row>
        <row r="138">
          <cell r="B138">
            <v>9900</v>
          </cell>
        </row>
        <row r="139">
          <cell r="B139">
            <v>9903.5</v>
          </cell>
        </row>
        <row r="140">
          <cell r="B140">
            <v>9907.5</v>
          </cell>
        </row>
        <row r="141">
          <cell r="B141">
            <v>9908.5</v>
          </cell>
        </row>
      </sheetData>
      <sheetData sheetId="28">
        <row r="130">
          <cell r="B130">
            <v>8821</v>
          </cell>
          <cell r="C130">
            <v>0.55000000000000004</v>
          </cell>
        </row>
        <row r="132">
          <cell r="B132">
            <v>8836</v>
          </cell>
        </row>
        <row r="133">
          <cell r="B133">
            <v>8841</v>
          </cell>
        </row>
      </sheetData>
      <sheetData sheetId="29">
        <row r="128">
          <cell r="B128">
            <v>8938</v>
          </cell>
          <cell r="C128">
            <v>0.64</v>
          </cell>
        </row>
        <row r="129">
          <cell r="B129">
            <v>9041</v>
          </cell>
          <cell r="C129">
            <v>0.75</v>
          </cell>
        </row>
      </sheetData>
      <sheetData sheetId="30">
        <row r="128">
          <cell r="B128">
            <v>8915</v>
          </cell>
          <cell r="C128">
            <v>0.62318181818181828</v>
          </cell>
        </row>
        <row r="130">
          <cell r="B130">
            <v>9024</v>
          </cell>
          <cell r="C130">
            <v>0.755</v>
          </cell>
        </row>
        <row r="135">
          <cell r="B135">
            <v>9046</v>
          </cell>
          <cell r="C135">
            <v>0.78</v>
          </cell>
        </row>
      </sheetData>
      <sheetData sheetId="31">
        <row r="128">
          <cell r="B128">
            <v>8760</v>
          </cell>
          <cell r="C128">
            <v>0.53</v>
          </cell>
        </row>
        <row r="130">
          <cell r="B130">
            <v>8797</v>
          </cell>
        </row>
        <row r="131">
          <cell r="B131">
            <v>8798</v>
          </cell>
        </row>
        <row r="134">
          <cell r="B134">
            <v>8860</v>
          </cell>
          <cell r="C134">
            <v>0.61499999999999999</v>
          </cell>
        </row>
        <row r="138">
          <cell r="B138">
            <v>8990</v>
          </cell>
          <cell r="C138">
            <v>0.67999999999999994</v>
          </cell>
        </row>
      </sheetData>
      <sheetData sheetId="32">
        <row r="126">
          <cell r="B126">
            <v>9246</v>
          </cell>
          <cell r="C126">
            <v>1.0900000000000001</v>
          </cell>
        </row>
      </sheetData>
      <sheetData sheetId="33">
        <row r="128">
          <cell r="B128">
            <v>9036</v>
          </cell>
          <cell r="C128">
            <v>0.86</v>
          </cell>
        </row>
      </sheetData>
      <sheetData sheetId="34">
        <row r="129">
          <cell r="B129">
            <v>8992</v>
          </cell>
          <cell r="C129">
            <v>0.67999999999999994</v>
          </cell>
        </row>
      </sheetData>
      <sheetData sheetId="35">
        <row r="129">
          <cell r="B129">
            <v>9010</v>
          </cell>
          <cell r="C129">
            <v>0.74</v>
          </cell>
        </row>
      </sheetData>
      <sheetData sheetId="36">
        <row r="128">
          <cell r="B128">
            <v>9080</v>
          </cell>
        </row>
        <row r="129">
          <cell r="B129">
            <v>9085</v>
          </cell>
        </row>
        <row r="130">
          <cell r="B130">
            <v>9097</v>
          </cell>
        </row>
        <row r="131">
          <cell r="B131">
            <v>9100</v>
          </cell>
        </row>
        <row r="132">
          <cell r="B132">
            <v>9104</v>
          </cell>
        </row>
        <row r="133">
          <cell r="B133">
            <v>9105</v>
          </cell>
        </row>
        <row r="134">
          <cell r="B134">
            <v>9107</v>
          </cell>
        </row>
        <row r="135">
          <cell r="B135">
            <v>9108</v>
          </cell>
        </row>
        <row r="136">
          <cell r="B136">
            <v>9109</v>
          </cell>
        </row>
      </sheetData>
      <sheetData sheetId="37">
        <row r="128">
          <cell r="B128">
            <v>8500</v>
          </cell>
          <cell r="C128">
            <v>0.5575</v>
          </cell>
        </row>
        <row r="129">
          <cell r="B129">
            <v>8700</v>
          </cell>
          <cell r="C129">
            <v>0.64</v>
          </cell>
        </row>
        <row r="130">
          <cell r="B130">
            <v>8900</v>
          </cell>
          <cell r="C130">
            <v>0.75</v>
          </cell>
        </row>
        <row r="132">
          <cell r="B132">
            <v>9100</v>
          </cell>
          <cell r="C132">
            <v>0.86250000000000004</v>
          </cell>
        </row>
        <row r="134">
          <cell r="B134">
            <v>9500</v>
          </cell>
          <cell r="C134">
            <v>1.0874999999999999</v>
          </cell>
        </row>
      </sheetData>
      <sheetData sheetId="38">
        <row r="128">
          <cell r="B128">
            <v>9412</v>
          </cell>
          <cell r="C128">
            <v>0.54666666666666675</v>
          </cell>
        </row>
      </sheetData>
      <sheetData sheetId="39">
        <row r="128">
          <cell r="B128">
            <v>9146</v>
          </cell>
        </row>
        <row r="129">
          <cell r="B129">
            <v>9158</v>
          </cell>
        </row>
        <row r="130">
          <cell r="B130">
            <v>9160</v>
          </cell>
        </row>
        <row r="131">
          <cell r="B131">
            <v>9163</v>
          </cell>
        </row>
        <row r="132">
          <cell r="B132">
            <v>9168.5</v>
          </cell>
        </row>
        <row r="133">
          <cell r="B133">
            <v>9171.5</v>
          </cell>
        </row>
        <row r="134">
          <cell r="B134">
            <v>9174</v>
          </cell>
        </row>
      </sheetData>
      <sheetData sheetId="40">
        <row r="129">
          <cell r="B129">
            <v>9125</v>
          </cell>
          <cell r="C129">
            <v>0.45999999999999996</v>
          </cell>
        </row>
        <row r="133">
          <cell r="B133">
            <v>9293</v>
          </cell>
          <cell r="C133">
            <v>0.56999999999999995</v>
          </cell>
        </row>
      </sheetData>
      <sheetData sheetId="41">
        <row r="128">
          <cell r="B128">
            <v>9120</v>
          </cell>
          <cell r="C128">
            <v>0.46</v>
          </cell>
        </row>
      </sheetData>
      <sheetData sheetId="42">
        <row r="128">
          <cell r="B128">
            <v>8400</v>
          </cell>
          <cell r="C128">
            <v>0.33799999999999997</v>
          </cell>
        </row>
        <row r="130">
          <cell r="B130">
            <v>9400</v>
          </cell>
          <cell r="C130">
            <v>0.57080000000000009</v>
          </cell>
        </row>
        <row r="131">
          <cell r="B131">
            <v>9462</v>
          </cell>
          <cell r="C131">
            <v>0.59250000000000003</v>
          </cell>
        </row>
      </sheetData>
      <sheetData sheetId="43">
        <row r="131">
          <cell r="B131">
            <v>9677</v>
          </cell>
          <cell r="C131">
            <v>0.65</v>
          </cell>
        </row>
      </sheetData>
      <sheetData sheetId="44">
        <row r="128">
          <cell r="B128">
            <v>9633</v>
          </cell>
        </row>
        <row r="129">
          <cell r="B129">
            <v>9636</v>
          </cell>
        </row>
        <row r="130">
          <cell r="B130">
            <v>9639</v>
          </cell>
        </row>
        <row r="131">
          <cell r="B131">
            <v>9642</v>
          </cell>
        </row>
        <row r="132">
          <cell r="B132">
            <v>9645</v>
          </cell>
        </row>
        <row r="133">
          <cell r="B133">
            <v>9650</v>
          </cell>
        </row>
      </sheetData>
      <sheetData sheetId="45">
        <row r="128">
          <cell r="B128">
            <v>9720</v>
          </cell>
          <cell r="C128">
            <v>0.83499999999999996</v>
          </cell>
        </row>
      </sheetData>
      <sheetData sheetId="46">
        <row r="128">
          <cell r="B128">
            <v>9606</v>
          </cell>
        </row>
        <row r="129">
          <cell r="B129">
            <v>9608</v>
          </cell>
        </row>
        <row r="130">
          <cell r="B130">
            <v>9611</v>
          </cell>
        </row>
        <row r="131">
          <cell r="B131">
            <v>9614</v>
          </cell>
        </row>
        <row r="132">
          <cell r="B132">
            <v>9616</v>
          </cell>
        </row>
        <row r="133">
          <cell r="B133">
            <v>9620</v>
          </cell>
        </row>
        <row r="134">
          <cell r="B134">
            <v>9621</v>
          </cell>
        </row>
        <row r="135">
          <cell r="B135">
            <v>9625</v>
          </cell>
        </row>
        <row r="136">
          <cell r="B136">
            <v>9626</v>
          </cell>
        </row>
        <row r="137">
          <cell r="B137">
            <v>9628</v>
          </cell>
        </row>
        <row r="138">
          <cell r="B138">
            <v>9632</v>
          </cell>
        </row>
        <row r="139">
          <cell r="B139">
            <v>9635</v>
          </cell>
        </row>
        <row r="140">
          <cell r="B140">
            <v>9819</v>
          </cell>
        </row>
        <row r="141">
          <cell r="B141">
            <v>9821</v>
          </cell>
        </row>
        <row r="142">
          <cell r="B142">
            <v>9824</v>
          </cell>
        </row>
        <row r="143">
          <cell r="B143">
            <v>9825</v>
          </cell>
        </row>
        <row r="144">
          <cell r="B144">
            <v>9829</v>
          </cell>
        </row>
        <row r="145">
          <cell r="B145">
            <v>9838</v>
          </cell>
        </row>
        <row r="146">
          <cell r="B146">
            <v>9843</v>
          </cell>
        </row>
        <row r="147">
          <cell r="B147">
            <v>9846</v>
          </cell>
        </row>
      </sheetData>
      <sheetData sheetId="47">
        <row r="128">
          <cell r="B128">
            <v>9848</v>
          </cell>
        </row>
        <row r="129">
          <cell r="B129">
            <v>9852</v>
          </cell>
        </row>
        <row r="130">
          <cell r="B130">
            <v>9856</v>
          </cell>
        </row>
        <row r="131">
          <cell r="B131">
            <v>9864</v>
          </cell>
        </row>
        <row r="132">
          <cell r="B132">
            <v>9868</v>
          </cell>
        </row>
        <row r="133">
          <cell r="B133">
            <v>10013</v>
          </cell>
        </row>
        <row r="134">
          <cell r="B134">
            <v>10087</v>
          </cell>
        </row>
        <row r="135">
          <cell r="B135">
            <v>10093</v>
          </cell>
        </row>
        <row r="136">
          <cell r="B136">
            <v>10097</v>
          </cell>
        </row>
        <row r="137">
          <cell r="B137">
            <v>10106</v>
          </cell>
        </row>
        <row r="138">
          <cell r="B138">
            <v>10108</v>
          </cell>
        </row>
        <row r="139">
          <cell r="B139">
            <v>10111</v>
          </cell>
        </row>
        <row r="140">
          <cell r="B140">
            <v>10114.5</v>
          </cell>
        </row>
      </sheetData>
      <sheetData sheetId="48">
        <row r="128">
          <cell r="B128">
            <v>9782</v>
          </cell>
        </row>
        <row r="129">
          <cell r="B129">
            <v>9785.5</v>
          </cell>
        </row>
        <row r="130">
          <cell r="B130">
            <v>9808</v>
          </cell>
        </row>
        <row r="131">
          <cell r="B131">
            <v>9839</v>
          </cell>
        </row>
        <row r="134">
          <cell r="B134">
            <v>10087</v>
          </cell>
          <cell r="C134">
            <v>0.66</v>
          </cell>
        </row>
      </sheetData>
      <sheetData sheetId="49">
        <row r="128">
          <cell r="B128">
            <v>9150</v>
          </cell>
          <cell r="C128">
            <v>0.50131578947368416</v>
          </cell>
        </row>
        <row r="129">
          <cell r="B129">
            <v>9250</v>
          </cell>
          <cell r="C129">
            <v>0.51636363636363625</v>
          </cell>
        </row>
        <row r="130">
          <cell r="B130">
            <v>9450</v>
          </cell>
          <cell r="C130">
            <v>0.55000000000000004</v>
          </cell>
        </row>
        <row r="141">
          <cell r="B141">
            <v>10550</v>
          </cell>
          <cell r="C141">
            <v>0.8</v>
          </cell>
        </row>
      </sheetData>
      <sheetData sheetId="50">
        <row r="128">
          <cell r="B128">
            <v>8934</v>
          </cell>
        </row>
        <row r="129">
          <cell r="B129">
            <v>8937</v>
          </cell>
        </row>
        <row r="130">
          <cell r="B130">
            <v>8946</v>
          </cell>
        </row>
        <row r="131">
          <cell r="B131">
            <v>9685</v>
          </cell>
        </row>
        <row r="132">
          <cell r="B132">
            <v>9693</v>
          </cell>
        </row>
        <row r="133">
          <cell r="B133">
            <v>9694</v>
          </cell>
        </row>
        <row r="134">
          <cell r="B134">
            <v>9702</v>
          </cell>
        </row>
        <row r="135">
          <cell r="B135">
            <v>9709</v>
          </cell>
        </row>
        <row r="136">
          <cell r="B136">
            <v>9735</v>
          </cell>
        </row>
        <row r="137">
          <cell r="B137">
            <v>9883</v>
          </cell>
        </row>
        <row r="138">
          <cell r="B138">
            <v>9885</v>
          </cell>
        </row>
        <row r="139">
          <cell r="B139">
            <v>9890</v>
          </cell>
        </row>
        <row r="140">
          <cell r="B140">
            <v>9893</v>
          </cell>
        </row>
        <row r="141">
          <cell r="B141">
            <v>9898</v>
          </cell>
        </row>
        <row r="142">
          <cell r="B142">
            <v>9908</v>
          </cell>
        </row>
        <row r="143">
          <cell r="B143">
            <v>9914</v>
          </cell>
        </row>
        <row r="144">
          <cell r="B144">
            <v>9915</v>
          </cell>
        </row>
        <row r="145">
          <cell r="B145">
            <v>9919</v>
          </cell>
        </row>
        <row r="146">
          <cell r="B146">
            <v>9920</v>
          </cell>
        </row>
        <row r="147">
          <cell r="B147">
            <v>9932</v>
          </cell>
        </row>
        <row r="148">
          <cell r="B148">
            <v>9934</v>
          </cell>
        </row>
        <row r="149">
          <cell r="B149">
            <v>9936</v>
          </cell>
        </row>
      </sheetData>
      <sheetData sheetId="51">
        <row r="128">
          <cell r="B128">
            <v>10027</v>
          </cell>
          <cell r="C128">
            <v>0.83</v>
          </cell>
        </row>
        <row r="129">
          <cell r="B129">
            <v>10035</v>
          </cell>
          <cell r="C129">
            <v>0.83</v>
          </cell>
        </row>
      </sheetData>
      <sheetData sheetId="52">
        <row r="129">
          <cell r="B129">
            <v>9871.5</v>
          </cell>
          <cell r="C129">
            <v>0.68</v>
          </cell>
        </row>
        <row r="130">
          <cell r="B130">
            <v>9880</v>
          </cell>
          <cell r="C130">
            <v>0.67833333333333334</v>
          </cell>
        </row>
        <row r="131">
          <cell r="B131">
            <v>9883</v>
          </cell>
          <cell r="C131">
            <v>0.71333333333333326</v>
          </cell>
        </row>
        <row r="133">
          <cell r="B133">
            <v>10154</v>
          </cell>
          <cell r="C133">
            <v>0.97</v>
          </cell>
        </row>
      </sheetData>
      <sheetData sheetId="53">
        <row r="129">
          <cell r="B129">
            <v>10170</v>
          </cell>
          <cell r="C129">
            <v>0.74</v>
          </cell>
        </row>
      </sheetData>
      <sheetData sheetId="54">
        <row r="128">
          <cell r="B128">
            <v>10648</v>
          </cell>
          <cell r="C128">
            <v>0.94499999999999995</v>
          </cell>
        </row>
      </sheetData>
      <sheetData sheetId="55">
        <row r="128">
          <cell r="B128">
            <v>10130.5</v>
          </cell>
        </row>
        <row r="129">
          <cell r="B129">
            <v>10138</v>
          </cell>
        </row>
        <row r="130">
          <cell r="B130">
            <v>10139</v>
          </cell>
        </row>
        <row r="131">
          <cell r="B131">
            <v>10140</v>
          </cell>
        </row>
        <row r="132">
          <cell r="B132">
            <v>10141</v>
          </cell>
        </row>
        <row r="133">
          <cell r="B133">
            <v>10142.5</v>
          </cell>
        </row>
      </sheetData>
      <sheetData sheetId="56">
        <row r="130">
          <cell r="B130">
            <v>9520</v>
          </cell>
          <cell r="C130">
            <v>0.66</v>
          </cell>
        </row>
      </sheetData>
      <sheetData sheetId="57">
        <row r="128">
          <cell r="B128">
            <v>9980</v>
          </cell>
        </row>
        <row r="129">
          <cell r="B129">
            <v>9987</v>
          </cell>
        </row>
        <row r="130">
          <cell r="B130">
            <v>9988</v>
          </cell>
        </row>
        <row r="131">
          <cell r="B131">
            <v>9989</v>
          </cell>
        </row>
        <row r="132">
          <cell r="B132">
            <v>9993</v>
          </cell>
        </row>
        <row r="133">
          <cell r="B133">
            <v>10000</v>
          </cell>
        </row>
        <row r="134">
          <cell r="B134">
            <v>10006</v>
          </cell>
        </row>
        <row r="136">
          <cell r="B136">
            <v>10241</v>
          </cell>
          <cell r="C136">
            <v>0.74</v>
          </cell>
        </row>
        <row r="139">
          <cell r="B139">
            <v>10488</v>
          </cell>
          <cell r="C139">
            <v>0.81499999999999995</v>
          </cell>
        </row>
      </sheetData>
      <sheetData sheetId="58">
        <row r="128">
          <cell r="B128">
            <v>10361</v>
          </cell>
        </row>
        <row r="129">
          <cell r="B129">
            <v>10366</v>
          </cell>
        </row>
        <row r="130">
          <cell r="B130">
            <v>10369</v>
          </cell>
        </row>
        <row r="131">
          <cell r="B131">
            <v>10372</v>
          </cell>
        </row>
        <row r="132">
          <cell r="B132">
            <v>10375</v>
          </cell>
        </row>
        <row r="133">
          <cell r="B133">
            <v>10376</v>
          </cell>
        </row>
        <row r="134">
          <cell r="B134">
            <v>10377</v>
          </cell>
        </row>
        <row r="135">
          <cell r="B135">
            <v>10378</v>
          </cell>
        </row>
        <row r="136">
          <cell r="B136">
            <v>10381</v>
          </cell>
        </row>
        <row r="137">
          <cell r="B137">
            <v>10384</v>
          </cell>
        </row>
        <row r="138">
          <cell r="B138">
            <v>10386</v>
          </cell>
        </row>
        <row r="139">
          <cell r="B139">
            <v>10388</v>
          </cell>
        </row>
        <row r="140">
          <cell r="B140">
            <v>10390</v>
          </cell>
        </row>
      </sheetData>
      <sheetData sheetId="59">
        <row r="128">
          <cell r="B128">
            <v>9810</v>
          </cell>
        </row>
        <row r="129">
          <cell r="B129">
            <v>9815.5</v>
          </cell>
        </row>
        <row r="130">
          <cell r="B130">
            <v>9818</v>
          </cell>
        </row>
        <row r="131">
          <cell r="B131">
            <v>9829</v>
          </cell>
        </row>
        <row r="132">
          <cell r="B132">
            <v>9832.5</v>
          </cell>
        </row>
        <row r="133">
          <cell r="B133">
            <v>9837</v>
          </cell>
        </row>
        <row r="134">
          <cell r="B134">
            <v>9986</v>
          </cell>
        </row>
        <row r="135">
          <cell r="B135">
            <v>9992</v>
          </cell>
        </row>
        <row r="136">
          <cell r="B136">
            <v>9998</v>
          </cell>
        </row>
        <row r="137">
          <cell r="B137">
            <v>10003</v>
          </cell>
        </row>
      </sheetData>
      <sheetData sheetId="60"/>
      <sheetData sheetId="61">
        <row r="128">
          <cell r="B128">
            <v>7974</v>
          </cell>
        </row>
        <row r="129">
          <cell r="B129">
            <v>7983</v>
          </cell>
        </row>
      </sheetData>
      <sheetData sheetId="62">
        <row r="128">
          <cell r="B128">
            <v>8002</v>
          </cell>
        </row>
        <row r="129">
          <cell r="B129">
            <v>8011.5</v>
          </cell>
        </row>
        <row r="130">
          <cell r="B130">
            <v>8018</v>
          </cell>
        </row>
      </sheetData>
      <sheetData sheetId="63">
        <row r="128">
          <cell r="B128">
            <v>7846</v>
          </cell>
          <cell r="C128">
            <v>0.83</v>
          </cell>
        </row>
      </sheetData>
      <sheetData sheetId="64">
        <row r="126">
          <cell r="B126">
            <v>7932</v>
          </cell>
          <cell r="C126">
            <v>0.71</v>
          </cell>
        </row>
      </sheetData>
      <sheetData sheetId="65">
        <row r="86">
          <cell r="C86">
            <v>7596.8</v>
          </cell>
        </row>
        <row r="87">
          <cell r="C87">
            <v>7598.5</v>
          </cell>
        </row>
        <row r="88">
          <cell r="C88">
            <v>7615</v>
          </cell>
        </row>
        <row r="89">
          <cell r="C89">
            <v>7619</v>
          </cell>
        </row>
      </sheetData>
      <sheetData sheetId="66"/>
      <sheetData sheetId="67">
        <row r="128">
          <cell r="B128">
            <v>7643</v>
          </cell>
        </row>
        <row r="129">
          <cell r="B129">
            <v>7645</v>
          </cell>
        </row>
        <row r="130">
          <cell r="B130">
            <v>7654</v>
          </cell>
        </row>
      </sheetData>
      <sheetData sheetId="68">
        <row r="128">
          <cell r="B128">
            <v>7152</v>
          </cell>
          <cell r="C128">
            <v>0.59</v>
          </cell>
        </row>
        <row r="129">
          <cell r="B129">
            <v>7757</v>
          </cell>
          <cell r="C129">
            <v>0.71</v>
          </cell>
        </row>
      </sheetData>
      <sheetData sheetId="69">
        <row r="128">
          <cell r="B128">
            <v>7128</v>
          </cell>
          <cell r="C128">
            <v>0.56999999999999995</v>
          </cell>
        </row>
        <row r="129">
          <cell r="B129">
            <v>7935</v>
          </cell>
        </row>
        <row r="130">
          <cell r="B130">
            <v>7941</v>
          </cell>
        </row>
      </sheetData>
      <sheetData sheetId="70">
        <row r="128">
          <cell r="B128">
            <v>6600</v>
          </cell>
          <cell r="C128">
            <v>0.43083333333333335</v>
          </cell>
        </row>
        <row r="131">
          <cell r="B131">
            <v>6904</v>
          </cell>
          <cell r="C131">
            <v>0.48</v>
          </cell>
        </row>
        <row r="132">
          <cell r="B132">
            <v>7200</v>
          </cell>
          <cell r="C132">
            <v>0.5</v>
          </cell>
        </row>
      </sheetData>
      <sheetData sheetId="71">
        <row r="129">
          <cell r="B129">
            <v>7220</v>
          </cell>
          <cell r="C129">
            <v>0.5</v>
          </cell>
        </row>
        <row r="130">
          <cell r="B130">
            <v>7340</v>
          </cell>
          <cell r="C130">
            <v>0.5099999999999999</v>
          </cell>
        </row>
        <row r="131">
          <cell r="B131">
            <v>7500</v>
          </cell>
          <cell r="C131">
            <v>0.53</v>
          </cell>
        </row>
      </sheetData>
      <sheetData sheetId="72" refreshError="1"/>
      <sheetData sheetId="73">
        <row r="85">
          <cell r="C85">
            <v>6204</v>
          </cell>
        </row>
        <row r="86">
          <cell r="C86">
            <v>6212</v>
          </cell>
        </row>
        <row r="87">
          <cell r="C87">
            <v>6214.5</v>
          </cell>
        </row>
        <row r="88">
          <cell r="C88">
            <v>6450</v>
          </cell>
          <cell r="D88">
            <v>0.39333333333333337</v>
          </cell>
        </row>
      </sheetData>
      <sheetData sheetId="74">
        <row r="86">
          <cell r="C86">
            <v>8020</v>
          </cell>
          <cell r="D86">
            <v>0.60777777777777786</v>
          </cell>
        </row>
        <row r="87">
          <cell r="C87">
            <v>8300</v>
          </cell>
          <cell r="D87">
            <v>0.65777777777777779</v>
          </cell>
        </row>
        <row r="88">
          <cell r="C88">
            <v>8430</v>
          </cell>
          <cell r="D88">
            <v>0.68214285714285716</v>
          </cell>
        </row>
        <row r="89">
          <cell r="C89">
            <v>8560</v>
          </cell>
          <cell r="D89">
            <v>0.69750000000000001</v>
          </cell>
        </row>
        <row r="90">
          <cell r="C90">
            <v>8750</v>
          </cell>
          <cell r="D90">
            <v>0.72333333333333327</v>
          </cell>
        </row>
        <row r="91">
          <cell r="C91">
            <v>8920</v>
          </cell>
          <cell r="D91">
            <v>0.75611111111111107</v>
          </cell>
        </row>
        <row r="92">
          <cell r="C92">
            <v>9060</v>
          </cell>
          <cell r="D92">
            <v>0.78666666666666674</v>
          </cell>
        </row>
        <row r="93">
          <cell r="C93">
            <v>9210</v>
          </cell>
          <cell r="D93">
            <v>0.80043478260869549</v>
          </cell>
        </row>
        <row r="94">
          <cell r="C94">
            <v>9360</v>
          </cell>
          <cell r="D94">
            <v>0.81818181818181823</v>
          </cell>
        </row>
      </sheetData>
      <sheetData sheetId="75">
        <row r="128">
          <cell r="B128">
            <v>9517</v>
          </cell>
          <cell r="C128">
            <v>0.64500000000000002</v>
          </cell>
        </row>
        <row r="130">
          <cell r="B130">
            <v>10026</v>
          </cell>
          <cell r="C130">
            <v>0.72857142857142854</v>
          </cell>
        </row>
      </sheetData>
      <sheetData sheetId="76">
        <row r="128">
          <cell r="B128">
            <v>8400</v>
          </cell>
          <cell r="C128">
            <v>0.375</v>
          </cell>
        </row>
        <row r="129">
          <cell r="B129">
            <v>8642</v>
          </cell>
          <cell r="C129">
            <v>0.40896551724137931</v>
          </cell>
        </row>
        <row r="130">
          <cell r="B130">
            <v>8820</v>
          </cell>
          <cell r="C130">
            <v>0.44352941176470606</v>
          </cell>
        </row>
        <row r="131">
          <cell r="B131">
            <v>9008</v>
          </cell>
          <cell r="C131">
            <v>0.47200000000000009</v>
          </cell>
        </row>
        <row r="132">
          <cell r="B132">
            <v>9220</v>
          </cell>
          <cell r="C132">
            <v>0.504</v>
          </cell>
        </row>
        <row r="133">
          <cell r="B133">
            <v>9744</v>
          </cell>
          <cell r="C133">
            <v>0.57999999999999996</v>
          </cell>
        </row>
        <row r="134">
          <cell r="B134">
            <v>10070</v>
          </cell>
          <cell r="C134">
            <v>0.6556249999999999</v>
          </cell>
        </row>
      </sheetData>
      <sheetData sheetId="77">
        <row r="128">
          <cell r="B128">
            <v>4997</v>
          </cell>
          <cell r="C128">
            <v>0.49</v>
          </cell>
        </row>
        <row r="129">
          <cell r="B129">
            <v>5043</v>
          </cell>
          <cell r="C129">
            <v>0.5</v>
          </cell>
        </row>
        <row r="130">
          <cell r="B130">
            <v>5127</v>
          </cell>
          <cell r="C130">
            <v>0.5116666666666666</v>
          </cell>
        </row>
      </sheetData>
      <sheetData sheetId="78"/>
      <sheetData sheetId="79">
        <row r="128">
          <cell r="B128">
            <v>4810</v>
          </cell>
          <cell r="C128">
            <v>0.4204761904761905</v>
          </cell>
        </row>
        <row r="129">
          <cell r="B129">
            <v>4910</v>
          </cell>
          <cell r="C129">
            <v>0.44</v>
          </cell>
        </row>
        <row r="130">
          <cell r="B130">
            <v>5010</v>
          </cell>
          <cell r="C130">
            <v>0.45</v>
          </cell>
        </row>
        <row r="131">
          <cell r="B131">
            <v>5110</v>
          </cell>
          <cell r="C131">
            <v>0.46</v>
          </cell>
        </row>
        <row r="132">
          <cell r="B132">
            <v>5200</v>
          </cell>
          <cell r="C132">
            <v>0.48333333333333334</v>
          </cell>
        </row>
        <row r="135">
          <cell r="B135">
            <v>5610</v>
          </cell>
          <cell r="C135">
            <v>0.53</v>
          </cell>
        </row>
      </sheetData>
      <sheetData sheetId="80">
        <row r="128">
          <cell r="B128">
            <v>5050</v>
          </cell>
          <cell r="C128">
            <v>0.40666666666666668</v>
          </cell>
        </row>
        <row r="129">
          <cell r="B129">
            <v>5250</v>
          </cell>
          <cell r="C129">
            <v>0.43333333333333335</v>
          </cell>
        </row>
        <row r="130">
          <cell r="B130">
            <v>5350</v>
          </cell>
          <cell r="C130">
            <v>0.45</v>
          </cell>
        </row>
        <row r="132">
          <cell r="B132">
            <v>5362.5</v>
          </cell>
          <cell r="C132">
            <v>0.45400000000000001</v>
          </cell>
        </row>
        <row r="133">
          <cell r="B133">
            <v>5374</v>
          </cell>
          <cell r="C133">
            <v>0.47249999999999998</v>
          </cell>
        </row>
        <row r="137">
          <cell r="B137">
            <v>5393.5</v>
          </cell>
          <cell r="C137">
            <v>0.47000000000000003</v>
          </cell>
        </row>
        <row r="138">
          <cell r="B138">
            <v>5397</v>
          </cell>
          <cell r="C138">
            <v>0.47</v>
          </cell>
        </row>
        <row r="139">
          <cell r="B139">
            <v>5414.5</v>
          </cell>
          <cell r="C139">
            <v>0.48</v>
          </cell>
        </row>
        <row r="141">
          <cell r="B141">
            <v>5550</v>
          </cell>
          <cell r="C141">
            <v>0.48</v>
          </cell>
        </row>
        <row r="142">
          <cell r="B142">
            <v>5670</v>
          </cell>
          <cell r="C142">
            <v>0.505</v>
          </cell>
        </row>
        <row r="143">
          <cell r="B143">
            <v>5790</v>
          </cell>
          <cell r="C143">
            <v>0.52</v>
          </cell>
        </row>
      </sheetData>
      <sheetData sheetId="81">
        <row r="128">
          <cell r="B128">
            <v>4910</v>
          </cell>
          <cell r="C128">
            <v>0.38</v>
          </cell>
        </row>
        <row r="129">
          <cell r="B129">
            <v>5010</v>
          </cell>
          <cell r="C129">
            <v>0.41037037037037039</v>
          </cell>
        </row>
        <row r="130">
          <cell r="B130">
            <v>5110</v>
          </cell>
          <cell r="C130">
            <v>0.42333333333333334</v>
          </cell>
        </row>
        <row r="133">
          <cell r="B133">
            <v>5430</v>
          </cell>
          <cell r="C133">
            <v>0.46</v>
          </cell>
        </row>
        <row r="134">
          <cell r="B134">
            <v>5600</v>
          </cell>
          <cell r="C134">
            <v>0.48</v>
          </cell>
        </row>
        <row r="137">
          <cell r="B137">
            <v>5820</v>
          </cell>
          <cell r="C137">
            <v>0.52</v>
          </cell>
        </row>
      </sheetData>
      <sheetData sheetId="82" refreshError="1"/>
      <sheetData sheetId="83">
        <row r="128">
          <cell r="B128">
            <v>11560</v>
          </cell>
          <cell r="C128">
            <v>1.018</v>
          </cell>
        </row>
        <row r="129">
          <cell r="B129">
            <v>11860</v>
          </cell>
          <cell r="C129">
            <v>1.0766666666666667</v>
          </cell>
        </row>
        <row r="131">
          <cell r="B131">
            <v>12420</v>
          </cell>
          <cell r="C131">
            <v>1.1633333333333333</v>
          </cell>
        </row>
      </sheetData>
      <sheetData sheetId="84">
        <row r="128">
          <cell r="B128">
            <v>11673</v>
          </cell>
        </row>
        <row r="129">
          <cell r="B129">
            <v>11679</v>
          </cell>
        </row>
        <row r="130">
          <cell r="B130">
            <v>11681</v>
          </cell>
        </row>
        <row r="131">
          <cell r="B131">
            <v>11681.8</v>
          </cell>
        </row>
      </sheetData>
      <sheetData sheetId="85">
        <row r="128">
          <cell r="B128">
            <v>9689</v>
          </cell>
          <cell r="C128">
            <v>0.73499999999999999</v>
          </cell>
        </row>
      </sheetData>
      <sheetData sheetId="86">
        <row r="128">
          <cell r="B128">
            <v>9220</v>
          </cell>
          <cell r="C128">
            <v>0.53999999999999992</v>
          </cell>
        </row>
        <row r="129">
          <cell r="B129">
            <v>9620</v>
          </cell>
          <cell r="C129">
            <v>0.58249999999999991</v>
          </cell>
        </row>
        <row r="132">
          <cell r="B132">
            <v>10080</v>
          </cell>
          <cell r="C132">
            <v>0.76</v>
          </cell>
        </row>
      </sheetData>
      <sheetData sheetId="87">
        <row r="128">
          <cell r="B128">
            <v>9479</v>
          </cell>
          <cell r="C128">
            <v>0.74</v>
          </cell>
        </row>
      </sheetData>
      <sheetData sheetId="88">
        <row r="128">
          <cell r="B128">
            <v>9618</v>
          </cell>
          <cell r="C128">
            <v>0.69000000000000006</v>
          </cell>
        </row>
      </sheetData>
      <sheetData sheetId="8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A477-E568-458E-8C63-AF3792483C0A}">
  <dimension ref="A1:F360"/>
  <sheetViews>
    <sheetView tabSelected="1" topLeftCell="A333" zoomScale="84" workbookViewId="0">
      <pane xSplit="2" topLeftCell="C1" activePane="topRight" state="frozen"/>
      <selection pane="topRight" activeCell="J354" sqref="J354"/>
    </sheetView>
  </sheetViews>
  <sheetFormatPr baseColWidth="10" defaultRowHeight="14.4" x14ac:dyDescent="0.3"/>
  <cols>
    <col min="1" max="1" width="18.5546875" customWidth="1"/>
    <col min="2" max="2" width="16.6640625" customWidth="1"/>
    <col min="3" max="3" width="25.88671875" customWidth="1"/>
    <col min="4" max="4" width="20.44140625" customWidth="1"/>
    <col min="5" max="5" width="24.88671875" customWidth="1"/>
    <col min="6" max="6" width="23" customWidth="1"/>
  </cols>
  <sheetData>
    <row r="1" spans="1:6" s="2" customFormat="1" x14ac:dyDescent="0.3">
      <c r="A1" s="1" t="s">
        <v>0</v>
      </c>
      <c r="B1" s="1" t="s">
        <v>103</v>
      </c>
      <c r="C1" s="1" t="s">
        <v>104</v>
      </c>
      <c r="D1" s="1" t="s">
        <v>1</v>
      </c>
      <c r="E1" s="1" t="s">
        <v>2</v>
      </c>
      <c r="F1" s="1" t="s">
        <v>82</v>
      </c>
    </row>
    <row r="2" spans="1:6" x14ac:dyDescent="0.3">
      <c r="A2" s="9" t="s">
        <v>3</v>
      </c>
      <c r="B2" s="4" cm="1">
        <f t="array" ref="B2:B3">'[1]Bermejo Norte-0016'!B128:B129</f>
        <v>4118</v>
      </c>
      <c r="C2" s="4" cm="1">
        <f t="array" ref="C2:C3">'[1]Bermejo Norte-0016'!C128:C129</f>
        <v>0.70000000000000007</v>
      </c>
      <c r="D2" s="3" t="str">
        <f t="shared" ref="D2:D63" si="0">IF(B2&lt;4900, "Play subandino-Bermejo", IF(B2&lt;=6000, "Play oriental ITT", "Play central-Libertador"))</f>
        <v>Play subandino-Bermejo</v>
      </c>
      <c r="E2" s="3" t="str">
        <f>IF(C2&lt;0.55, "Inmaduro", IF(C2&lt;0.7, "Madurez Temprana",IF(C2&lt;=1,"Maduro","Sobremaduro")))</f>
        <v>Maduro</v>
      </c>
      <c r="F2" s="3" t="s">
        <v>86</v>
      </c>
    </row>
    <row r="3" spans="1:6" x14ac:dyDescent="0.3">
      <c r="A3" s="9"/>
      <c r="B3" s="4">
        <v>4126.5</v>
      </c>
      <c r="C3" s="4">
        <v>0.70500000000000007</v>
      </c>
      <c r="D3" s="3" t="str">
        <f>IF(B3&lt;4900, "Play subandino-Bermejo", IF(B3&lt;=6000, "Play oriental ITT", "Play central-Libertador"))</f>
        <v>Play subandino-Bermejo</v>
      </c>
      <c r="E3" s="3" t="str">
        <f t="shared" ref="E3:E64" si="1">IF(C3&lt;0.55, "Inmaduro", IF(C3&lt;0.7, "Madurez Temprana",IF(C3&lt;=1,"Maduro","Sobremaduro")))</f>
        <v>Maduro</v>
      </c>
      <c r="F3" s="3" t="s">
        <v>86</v>
      </c>
    </row>
    <row r="4" spans="1:6" x14ac:dyDescent="0.3">
      <c r="A4" s="9" t="s">
        <v>4</v>
      </c>
      <c r="B4" s="4" cm="1">
        <f t="array" ref="B4:B5">'[1]Bermejo Sur-0001'!B128:B129</f>
        <v>4023</v>
      </c>
      <c r="C4" s="4" cm="1">
        <f t="array" ref="C4:C5">'[1]Bermejo Sur-0001'!C128:C129</f>
        <v>0.6</v>
      </c>
      <c r="D4" s="3" t="str">
        <f t="shared" si="0"/>
        <v>Play subandino-Bermejo</v>
      </c>
      <c r="E4" s="3" t="str">
        <f t="shared" si="1"/>
        <v>Madurez Temprana</v>
      </c>
      <c r="F4" s="3" t="s">
        <v>86</v>
      </c>
    </row>
    <row r="5" spans="1:6" x14ac:dyDescent="0.3">
      <c r="A5" s="9"/>
      <c r="B5" s="4">
        <v>4263</v>
      </c>
      <c r="C5" s="4">
        <v>0.65999999999999992</v>
      </c>
      <c r="D5" s="3" t="str">
        <f t="shared" si="0"/>
        <v>Play subandino-Bermejo</v>
      </c>
      <c r="E5" s="3" t="str">
        <f t="shared" si="1"/>
        <v>Madurez Temprana</v>
      </c>
      <c r="F5" s="3" t="s">
        <v>85</v>
      </c>
    </row>
    <row r="6" spans="1:6" x14ac:dyDescent="0.3">
      <c r="A6" s="3" t="s">
        <v>5</v>
      </c>
      <c r="B6" s="4">
        <f>'[1]Bermejo Sur-0007'!B128</f>
        <v>4897</v>
      </c>
      <c r="C6" s="4">
        <f>'[1]Bermejo Sur-0007'!C128</f>
        <v>0.7742268041237117</v>
      </c>
      <c r="D6" s="3" t="str">
        <f t="shared" si="0"/>
        <v>Play subandino-Bermejo</v>
      </c>
      <c r="E6" s="3" t="str">
        <f t="shared" si="1"/>
        <v>Maduro</v>
      </c>
      <c r="F6" s="3" t="s">
        <v>83</v>
      </c>
    </row>
    <row r="7" spans="1:6" x14ac:dyDescent="0.3">
      <c r="A7" s="3" t="s">
        <v>6</v>
      </c>
      <c r="B7" s="4">
        <f>'[1]Bermejo Sur-0009'!B128</f>
        <v>4016</v>
      </c>
      <c r="C7" s="4">
        <f>'[1]Bermejo Sur-0009'!C128</f>
        <v>0.74</v>
      </c>
      <c r="D7" s="3" t="str">
        <f t="shared" si="0"/>
        <v>Play subandino-Bermejo</v>
      </c>
      <c r="E7" s="3" t="str">
        <f t="shared" si="1"/>
        <v>Maduro</v>
      </c>
      <c r="F7" s="3" t="s">
        <v>86</v>
      </c>
    </row>
    <row r="8" spans="1:6" x14ac:dyDescent="0.3">
      <c r="A8" s="3" t="s">
        <v>7</v>
      </c>
      <c r="B8" s="4">
        <f>'[1]Bermejo Sur-0004'!B128</f>
        <v>3934</v>
      </c>
      <c r="C8" s="4">
        <f>'[1]Bermejo Sur-0004'!C128</f>
        <v>0.72</v>
      </c>
      <c r="D8" s="3" t="str">
        <f t="shared" si="0"/>
        <v>Play subandino-Bermejo</v>
      </c>
      <c r="E8" s="3" t="str">
        <f t="shared" si="1"/>
        <v>Maduro</v>
      </c>
      <c r="F8" s="3" t="s">
        <v>85</v>
      </c>
    </row>
    <row r="9" spans="1:6" x14ac:dyDescent="0.3">
      <c r="A9" s="8" t="s">
        <v>8</v>
      </c>
      <c r="B9" s="4" cm="1">
        <f t="array" ref="B9:B10">'[1]Bermejo Sur-0002'!B128:B129</f>
        <v>3697</v>
      </c>
      <c r="C9" s="4" cm="1">
        <f t="array" ref="C9:C10">'[1]Bermejo Sur-0002'!C128:C129</f>
        <v>0.50679999999999992</v>
      </c>
      <c r="D9" s="3" t="str">
        <f t="shared" si="0"/>
        <v>Play subandino-Bermejo</v>
      </c>
      <c r="E9" s="3" t="str">
        <f t="shared" si="1"/>
        <v>Inmaduro</v>
      </c>
      <c r="F9" s="3" t="s">
        <v>84</v>
      </c>
    </row>
    <row r="10" spans="1:6" x14ac:dyDescent="0.3">
      <c r="A10" s="8"/>
      <c r="B10" s="4">
        <v>3892</v>
      </c>
      <c r="C10" s="4">
        <v>0.53</v>
      </c>
      <c r="D10" s="3" t="str">
        <f t="shared" si="0"/>
        <v>Play subandino-Bermejo</v>
      </c>
      <c r="E10" s="3" t="str">
        <f t="shared" si="1"/>
        <v>Inmaduro</v>
      </c>
      <c r="F10" s="3" t="s">
        <v>87</v>
      </c>
    </row>
    <row r="11" spans="1:6" x14ac:dyDescent="0.3">
      <c r="A11" s="8" t="s">
        <v>9</v>
      </c>
      <c r="B11" s="6" cm="1">
        <f t="array" ref="B11:B12">'[1]Pungarayacu-0030'!B134:B135</f>
        <v>731.62731999999994</v>
      </c>
      <c r="C11" s="4" cm="1">
        <f t="array" ref="C11:C12">'[1]Pungarayacu-0030'!C134:C135</f>
        <v>0.37666666666666665</v>
      </c>
      <c r="D11" s="3" t="str">
        <f t="shared" si="0"/>
        <v>Play subandino-Bermejo</v>
      </c>
      <c r="E11" s="3" t="str">
        <f t="shared" si="1"/>
        <v>Inmaduro</v>
      </c>
      <c r="F11" s="3" t="s">
        <v>88</v>
      </c>
    </row>
    <row r="12" spans="1:6" x14ac:dyDescent="0.3">
      <c r="A12" s="8"/>
      <c r="B12" s="6">
        <v>768.9960875999999</v>
      </c>
      <c r="C12" s="4">
        <v>0.42</v>
      </c>
      <c r="D12" s="3" t="str">
        <f t="shared" si="0"/>
        <v>Play subandino-Bermejo</v>
      </c>
      <c r="E12" s="3" t="str">
        <f t="shared" si="1"/>
        <v>Inmaduro</v>
      </c>
      <c r="F12" s="3" t="s">
        <v>88</v>
      </c>
    </row>
    <row r="13" spans="1:6" x14ac:dyDescent="0.3">
      <c r="A13" s="8"/>
      <c r="B13" s="6" cm="1">
        <f t="array" ref="B13:B14">'[1]Pungarayacu-0030'!B140:B141</f>
        <v>869.75068400000009</v>
      </c>
      <c r="C13" s="4" cm="1">
        <f t="array" ref="C13:C14">'[1]Pungarayacu-0030'!C140:C141</f>
        <v>0.44</v>
      </c>
      <c r="D13" s="3" t="str">
        <f t="shared" si="0"/>
        <v>Play subandino-Bermejo</v>
      </c>
      <c r="E13" s="3" t="str">
        <f t="shared" si="1"/>
        <v>Inmaduro</v>
      </c>
      <c r="F13" s="3" t="s">
        <v>88</v>
      </c>
    </row>
    <row r="14" spans="1:6" x14ac:dyDescent="0.3">
      <c r="A14" s="8"/>
      <c r="B14" s="6">
        <v>879.59320400000001</v>
      </c>
      <c r="C14" s="4">
        <v>0.45428571428571424</v>
      </c>
      <c r="D14" s="3" t="str">
        <f t="shared" si="0"/>
        <v>Play subandino-Bermejo</v>
      </c>
      <c r="E14" s="3" t="str">
        <f t="shared" si="1"/>
        <v>Inmaduro</v>
      </c>
      <c r="F14" s="3" t="s">
        <v>88</v>
      </c>
    </row>
    <row r="15" spans="1:6" x14ac:dyDescent="0.3">
      <c r="A15" s="8"/>
      <c r="B15" s="6" cm="1">
        <f t="array" ref="B15:B17">'[1]Pungarayacu-0030'!B143:B145</f>
        <v>895.66931999999997</v>
      </c>
      <c r="C15" s="4" cm="1">
        <f t="array" ref="C15:C17">'[1]Pungarayacu-0030'!C143:C145</f>
        <v>0.45</v>
      </c>
      <c r="D15" s="3" t="str">
        <f t="shared" si="0"/>
        <v>Play subandino-Bermejo</v>
      </c>
      <c r="E15" s="3" t="str">
        <f t="shared" si="1"/>
        <v>Inmaduro</v>
      </c>
      <c r="F15" s="3" t="s">
        <v>88</v>
      </c>
    </row>
    <row r="16" spans="1:6" x14ac:dyDescent="0.3">
      <c r="A16" s="8"/>
      <c r="B16" s="6">
        <v>908.00527839999995</v>
      </c>
      <c r="C16" s="4">
        <v>0.47400000000000003</v>
      </c>
      <c r="D16" s="3" t="str">
        <f t="shared" si="0"/>
        <v>Play subandino-Bermejo</v>
      </c>
      <c r="E16" s="3" t="str">
        <f t="shared" si="1"/>
        <v>Inmaduro</v>
      </c>
      <c r="F16" s="3" t="s">
        <v>88</v>
      </c>
    </row>
    <row r="17" spans="1:6" x14ac:dyDescent="0.3">
      <c r="A17" s="8"/>
      <c r="B17" s="6">
        <v>928.08401919999994</v>
      </c>
      <c r="C17" s="4">
        <v>0.47285714285714281</v>
      </c>
      <c r="D17" s="3" t="str">
        <f t="shared" si="0"/>
        <v>Play subandino-Bermejo</v>
      </c>
      <c r="E17" s="3" t="str">
        <f t="shared" si="1"/>
        <v>Inmaduro</v>
      </c>
      <c r="F17" s="3" t="s">
        <v>89</v>
      </c>
    </row>
    <row r="18" spans="1:6" x14ac:dyDescent="0.3">
      <c r="A18" s="8"/>
      <c r="B18" s="6" cm="1">
        <f t="array" ref="B18:B23">'[1]Pungarayacu-0030'!B147:B152</f>
        <v>947.17850799999997</v>
      </c>
      <c r="C18" s="4" cm="1">
        <f t="array" ref="C18:C23">'[1]Pungarayacu-0030'!C147:C152</f>
        <v>0.50375000000000003</v>
      </c>
      <c r="D18" s="3" t="str">
        <f t="shared" si="0"/>
        <v>Play subandino-Bermejo</v>
      </c>
      <c r="E18" s="3" t="str">
        <f t="shared" si="1"/>
        <v>Inmaduro</v>
      </c>
      <c r="F18" s="3" t="s">
        <v>89</v>
      </c>
    </row>
    <row r="19" spans="1:6" x14ac:dyDescent="0.3">
      <c r="A19" s="8"/>
      <c r="B19" s="6">
        <v>996.39110799999992</v>
      </c>
      <c r="C19" s="4">
        <v>0.51636363636363636</v>
      </c>
      <c r="D19" s="3" t="str">
        <f t="shared" si="0"/>
        <v>Play subandino-Bermejo</v>
      </c>
      <c r="E19" s="3" t="str">
        <f t="shared" si="1"/>
        <v>Inmaduro</v>
      </c>
      <c r="F19" s="3" t="s">
        <v>89</v>
      </c>
    </row>
    <row r="20" spans="1:6" x14ac:dyDescent="0.3">
      <c r="A20" s="8"/>
      <c r="B20" s="6">
        <v>1009.514468</v>
      </c>
      <c r="C20" s="4">
        <v>0.54272727272727284</v>
      </c>
      <c r="D20" s="3" t="str">
        <f t="shared" si="0"/>
        <v>Play subandino-Bermejo</v>
      </c>
      <c r="E20" s="3" t="str">
        <f t="shared" si="1"/>
        <v>Inmaduro</v>
      </c>
      <c r="F20" s="3" t="s">
        <v>89</v>
      </c>
    </row>
    <row r="21" spans="1:6" x14ac:dyDescent="0.3">
      <c r="A21" s="8"/>
      <c r="B21" s="6">
        <v>1029.1995079999999</v>
      </c>
      <c r="C21" s="4">
        <v>0.58727272727272728</v>
      </c>
      <c r="D21" s="3" t="str">
        <f t="shared" si="0"/>
        <v>Play subandino-Bermejo</v>
      </c>
      <c r="E21" s="3" t="str">
        <f t="shared" si="1"/>
        <v>Madurez Temprana</v>
      </c>
      <c r="F21" s="3" t="s">
        <v>89</v>
      </c>
    </row>
    <row r="22" spans="1:6" x14ac:dyDescent="0.3">
      <c r="A22" s="8"/>
      <c r="B22" s="6">
        <v>1049.0485900000001</v>
      </c>
      <c r="C22" s="4">
        <v>0.59999999999999987</v>
      </c>
      <c r="D22" s="3" t="str">
        <f t="shared" si="0"/>
        <v>Play subandino-Bermejo</v>
      </c>
      <c r="E22" s="3" t="str">
        <f t="shared" si="1"/>
        <v>Madurez Temprana</v>
      </c>
      <c r="F22" s="3" t="s">
        <v>89</v>
      </c>
    </row>
    <row r="23" spans="1:6" x14ac:dyDescent="0.3">
      <c r="A23" s="8"/>
      <c r="B23" s="6">
        <v>1078.5433416000001</v>
      </c>
      <c r="C23" s="4">
        <v>0.61750000000000005</v>
      </c>
      <c r="D23" s="3" t="str">
        <f t="shared" si="0"/>
        <v>Play subandino-Bermejo</v>
      </c>
      <c r="E23" s="3" t="str">
        <f t="shared" si="1"/>
        <v>Madurez Temprana</v>
      </c>
      <c r="F23" s="3" t="s">
        <v>90</v>
      </c>
    </row>
    <row r="24" spans="1:6" x14ac:dyDescent="0.3">
      <c r="A24" s="8"/>
      <c r="B24" s="6">
        <f>'[1]Pungarayacu-0030'!B154</f>
        <v>1106.627332</v>
      </c>
      <c r="C24" s="4">
        <f>'[1]Pungarayacu-0030'!C154</f>
        <v>0.65</v>
      </c>
      <c r="D24" s="3" t="str">
        <f t="shared" si="0"/>
        <v>Play subandino-Bermejo</v>
      </c>
      <c r="E24" s="3" t="str">
        <f t="shared" si="1"/>
        <v>Madurez Temprana</v>
      </c>
      <c r="F24" s="3" t="s">
        <v>90</v>
      </c>
    </row>
    <row r="25" spans="1:6" x14ac:dyDescent="0.3">
      <c r="A25" s="8"/>
      <c r="B25" s="6" cm="1">
        <f t="array" ref="B25:B28">'[1]Pungarayacu-0030'!B156:B159</f>
        <v>1127.2966240000001</v>
      </c>
      <c r="C25" s="4" cm="1">
        <f t="array" ref="C25:C28">'[1]Pungarayacu-0030'!C156:C159</f>
        <v>0.66166666666666651</v>
      </c>
      <c r="D25" s="3" t="str">
        <f t="shared" si="0"/>
        <v>Play subandino-Bermejo</v>
      </c>
      <c r="E25" s="3" t="str">
        <f t="shared" si="1"/>
        <v>Madurez Temprana</v>
      </c>
      <c r="F25" s="3" t="s">
        <v>90</v>
      </c>
    </row>
    <row r="26" spans="1:6" x14ac:dyDescent="0.3">
      <c r="A26" s="8"/>
      <c r="B26" s="6">
        <v>1139.1076479999999</v>
      </c>
      <c r="C26" s="4">
        <v>0.68</v>
      </c>
      <c r="D26" s="3" t="str">
        <f t="shared" si="0"/>
        <v>Play subandino-Bermejo</v>
      </c>
      <c r="E26" s="3" t="str">
        <f t="shared" si="1"/>
        <v>Madurez Temprana</v>
      </c>
      <c r="F26" s="3" t="s">
        <v>83</v>
      </c>
    </row>
    <row r="27" spans="1:6" x14ac:dyDescent="0.3">
      <c r="A27" s="8"/>
      <c r="B27" s="6">
        <v>1159.77694</v>
      </c>
      <c r="C27" s="4">
        <v>0.69</v>
      </c>
      <c r="D27" s="3" t="str">
        <f t="shared" si="0"/>
        <v>Play subandino-Bermejo</v>
      </c>
      <c r="E27" s="3" t="str">
        <f t="shared" si="1"/>
        <v>Madurez Temprana</v>
      </c>
      <c r="F27" s="3" t="s">
        <v>83</v>
      </c>
    </row>
    <row r="28" spans="1:6" x14ac:dyDescent="0.3">
      <c r="A28" s="8"/>
      <c r="B28" s="6">
        <v>1193.2415080000001</v>
      </c>
      <c r="C28" s="4">
        <v>0.69400000000000006</v>
      </c>
      <c r="D28" s="3" t="str">
        <f t="shared" si="0"/>
        <v>Play subandino-Bermejo</v>
      </c>
      <c r="E28" s="3" t="str">
        <f t="shared" si="1"/>
        <v>Madurez Temprana</v>
      </c>
      <c r="F28" s="3" t="s">
        <v>83</v>
      </c>
    </row>
    <row r="29" spans="1:6" x14ac:dyDescent="0.3">
      <c r="A29" s="8"/>
      <c r="B29" s="6">
        <f>'[1]Pungarayacu-0030'!B161</f>
        <v>1220.4724799999999</v>
      </c>
      <c r="C29" s="4">
        <f>'[1]Pungarayacu-0030'!C161</f>
        <v>0.72000000000000008</v>
      </c>
      <c r="D29" s="3" t="str">
        <f t="shared" si="0"/>
        <v>Play subandino-Bermejo</v>
      </c>
      <c r="E29" s="3" t="str">
        <f t="shared" si="1"/>
        <v>Maduro</v>
      </c>
      <c r="F29" s="3" t="s">
        <v>83</v>
      </c>
    </row>
    <row r="30" spans="1:6" x14ac:dyDescent="0.3">
      <c r="A30" s="8"/>
      <c r="B30" s="6">
        <f>'[1]Pungarayacu-0030'!B166</f>
        <v>1289.37012</v>
      </c>
      <c r="C30" s="4">
        <f>'[1]Pungarayacu-0030'!C166</f>
        <v>0.74</v>
      </c>
      <c r="D30" s="3" t="str">
        <f t="shared" si="0"/>
        <v>Play subandino-Bermejo</v>
      </c>
      <c r="E30" s="3" t="str">
        <f t="shared" si="1"/>
        <v>Maduro</v>
      </c>
      <c r="F30" s="3" t="s">
        <v>83</v>
      </c>
    </row>
    <row r="31" spans="1:6" x14ac:dyDescent="0.3">
      <c r="A31" s="8" t="s">
        <v>10</v>
      </c>
      <c r="B31" s="4">
        <f>'[1]Yuralpa Centro-0001'!B128</f>
        <v>6755</v>
      </c>
      <c r="C31" s="4">
        <f>'[1]Yuralpa Centro-0001'!C128</f>
        <v>0.5575</v>
      </c>
      <c r="D31" s="3" t="str">
        <f t="shared" si="0"/>
        <v>Play central-Libertador</v>
      </c>
      <c r="E31" s="3" t="str">
        <f t="shared" si="1"/>
        <v>Madurez Temprana</v>
      </c>
      <c r="F31" s="3" t="s">
        <v>90</v>
      </c>
    </row>
    <row r="32" spans="1:6" x14ac:dyDescent="0.3">
      <c r="A32" s="8"/>
      <c r="B32" s="4" cm="1">
        <f t="array" ref="B32:B33">'[1]Yuralpa Centro-0001'!B132:B133</f>
        <v>7940</v>
      </c>
      <c r="C32" s="4" cm="1">
        <f t="array" ref="C32:C33">'[1]Yuralpa Centro-0001'!C132:C133</f>
        <v>0.69562499999999994</v>
      </c>
      <c r="D32" s="3" t="str">
        <f t="shared" si="0"/>
        <v>Play central-Libertador</v>
      </c>
      <c r="E32" s="3" t="str">
        <f t="shared" si="1"/>
        <v>Madurez Temprana</v>
      </c>
      <c r="F32" s="3" t="s">
        <v>83</v>
      </c>
    </row>
    <row r="33" spans="1:6" x14ac:dyDescent="0.3">
      <c r="A33" s="8"/>
      <c r="B33" s="4">
        <v>8100</v>
      </c>
      <c r="C33" s="4">
        <v>0.71</v>
      </c>
      <c r="D33" s="3" t="str">
        <f t="shared" si="0"/>
        <v>Play central-Libertador</v>
      </c>
      <c r="E33" s="3" t="str">
        <f t="shared" si="1"/>
        <v>Maduro</v>
      </c>
      <c r="F33" s="3" t="s">
        <v>83</v>
      </c>
    </row>
    <row r="34" spans="1:6" x14ac:dyDescent="0.3">
      <c r="A34" s="8" t="s">
        <v>11</v>
      </c>
      <c r="B34" s="4">
        <f>'[1]Tzapino-0001'!B130</f>
        <v>9469</v>
      </c>
      <c r="C34" s="4">
        <f>'[1]Tzapino-0001'!C130</f>
        <v>0.61</v>
      </c>
      <c r="D34" s="3" t="str">
        <f t="shared" si="0"/>
        <v>Play central-Libertador</v>
      </c>
      <c r="E34" s="3" t="str">
        <f t="shared" si="1"/>
        <v>Madurez Temprana</v>
      </c>
      <c r="F34" s="3" t="s">
        <v>87</v>
      </c>
    </row>
    <row r="35" spans="1:6" x14ac:dyDescent="0.3">
      <c r="A35" s="8"/>
      <c r="B35" s="4">
        <f>'[1]Tzapino-0001'!B133</f>
        <v>9670</v>
      </c>
      <c r="C35" s="4">
        <f>'[1]Tzapino-0001'!C133</f>
        <v>0.64</v>
      </c>
      <c r="D35" s="3" t="str">
        <f t="shared" si="0"/>
        <v>Play central-Libertador</v>
      </c>
      <c r="E35" s="3" t="str">
        <f t="shared" si="1"/>
        <v>Madurez Temprana</v>
      </c>
      <c r="F35" s="3" t="s">
        <v>92</v>
      </c>
    </row>
    <row r="36" spans="1:6" x14ac:dyDescent="0.3">
      <c r="A36" s="8"/>
      <c r="B36" s="4">
        <f>'[1]Tzapino-0001'!B136</f>
        <v>9968</v>
      </c>
      <c r="C36" s="4">
        <f>'[1]Tzapino-0001'!C136</f>
        <v>0.68</v>
      </c>
      <c r="D36" s="3" t="str">
        <f t="shared" si="0"/>
        <v>Play central-Libertador</v>
      </c>
      <c r="E36" s="3" t="str">
        <f t="shared" si="1"/>
        <v>Madurez Temprana</v>
      </c>
      <c r="F36" s="3" t="s">
        <v>83</v>
      </c>
    </row>
    <row r="37" spans="1:6" x14ac:dyDescent="0.3">
      <c r="A37" s="5" t="s">
        <v>12</v>
      </c>
      <c r="B37" s="4">
        <f>'[1]Toro-0001'!B132</f>
        <v>10770</v>
      </c>
      <c r="C37" s="4">
        <f>'[1]Toro-0001'!C132</f>
        <v>0.87</v>
      </c>
      <c r="D37" s="3" t="str">
        <f t="shared" si="0"/>
        <v>Play central-Libertador</v>
      </c>
      <c r="E37" s="3" t="str">
        <f t="shared" si="1"/>
        <v>Maduro</v>
      </c>
      <c r="F37" s="3" t="s">
        <v>92</v>
      </c>
    </row>
    <row r="38" spans="1:6" x14ac:dyDescent="0.3">
      <c r="A38" s="8" t="s">
        <v>13</v>
      </c>
      <c r="B38" s="4">
        <f>'[1]Charapa-0004'!B131</f>
        <v>9748</v>
      </c>
      <c r="C38" s="4">
        <v>0.59</v>
      </c>
      <c r="D38" s="3" t="str">
        <f t="shared" si="0"/>
        <v>Play central-Libertador</v>
      </c>
      <c r="E38" s="3" t="str">
        <f t="shared" si="1"/>
        <v>Madurez Temprana</v>
      </c>
      <c r="F38" s="3" t="s">
        <v>86</v>
      </c>
    </row>
    <row r="39" spans="1:6" x14ac:dyDescent="0.3">
      <c r="A39" s="8"/>
      <c r="B39" s="4">
        <f>'[1]Charapa-0004'!B134</f>
        <v>9983</v>
      </c>
      <c r="C39" s="4">
        <f>'[1]Charapa-0004'!C134</f>
        <v>0.66000000000000014</v>
      </c>
      <c r="D39" s="3" t="str">
        <f t="shared" si="0"/>
        <v>Play central-Libertador</v>
      </c>
      <c r="E39" s="3" t="str">
        <f t="shared" si="1"/>
        <v>Madurez Temprana</v>
      </c>
      <c r="F39" s="3" t="s">
        <v>85</v>
      </c>
    </row>
    <row r="40" spans="1:6" x14ac:dyDescent="0.3">
      <c r="A40" s="3" t="s">
        <v>14</v>
      </c>
      <c r="B40" s="4">
        <f>'[1]Charapa-0003'!B129</f>
        <v>9947.7999999999993</v>
      </c>
      <c r="C40" s="4">
        <f>'[1]Charapa-0003'!C129</f>
        <v>0.7</v>
      </c>
      <c r="D40" s="3" t="str">
        <f t="shared" si="0"/>
        <v>Play central-Libertador</v>
      </c>
      <c r="E40" s="3" t="str">
        <f t="shared" si="1"/>
        <v>Maduro</v>
      </c>
      <c r="F40" s="3" t="s">
        <v>85</v>
      </c>
    </row>
    <row r="41" spans="1:6" x14ac:dyDescent="0.3">
      <c r="A41" s="8" t="s">
        <v>15</v>
      </c>
      <c r="B41" s="4" cm="1">
        <f t="array" ref="B41:B55">'[1]Lago Agrio-0037'!B128:B142</f>
        <v>9447</v>
      </c>
      <c r="C41" s="4">
        <v>0.57999999999999996</v>
      </c>
      <c r="D41" s="3" t="str">
        <f t="shared" si="0"/>
        <v>Play central-Libertador</v>
      </c>
      <c r="E41" s="3" t="str">
        <f t="shared" si="1"/>
        <v>Madurez Temprana</v>
      </c>
      <c r="F41" s="3" t="s">
        <v>86</v>
      </c>
    </row>
    <row r="42" spans="1:6" x14ac:dyDescent="0.3">
      <c r="A42" s="8"/>
      <c r="B42" s="4">
        <v>9448</v>
      </c>
      <c r="C42" s="4">
        <v>0.57999999999999996</v>
      </c>
      <c r="D42" s="3" t="str">
        <f t="shared" si="0"/>
        <v>Play central-Libertador</v>
      </c>
      <c r="E42" s="3" t="str">
        <f t="shared" si="1"/>
        <v>Madurez Temprana</v>
      </c>
      <c r="F42" s="3" t="s">
        <v>86</v>
      </c>
    </row>
    <row r="43" spans="1:6" x14ac:dyDescent="0.3">
      <c r="A43" s="8"/>
      <c r="B43" s="4">
        <v>9450</v>
      </c>
      <c r="C43" s="4">
        <v>0.57999999999999996</v>
      </c>
      <c r="D43" s="3" t="str">
        <f t="shared" si="0"/>
        <v>Play central-Libertador</v>
      </c>
      <c r="E43" s="3" t="str">
        <f t="shared" si="1"/>
        <v>Madurez Temprana</v>
      </c>
      <c r="F43" s="3" t="s">
        <v>86</v>
      </c>
    </row>
    <row r="44" spans="1:6" x14ac:dyDescent="0.3">
      <c r="A44" s="8"/>
      <c r="B44" s="4">
        <v>9451</v>
      </c>
      <c r="C44" s="4">
        <v>0.57999999999999996</v>
      </c>
      <c r="D44" s="3" t="str">
        <f t="shared" si="0"/>
        <v>Play central-Libertador</v>
      </c>
      <c r="E44" s="3" t="str">
        <f t="shared" si="1"/>
        <v>Madurez Temprana</v>
      </c>
      <c r="F44" s="3" t="s">
        <v>86</v>
      </c>
    </row>
    <row r="45" spans="1:6" x14ac:dyDescent="0.3">
      <c r="A45" s="8"/>
      <c r="B45" s="4">
        <v>9454</v>
      </c>
      <c r="C45" s="4">
        <v>0.57999999999999996</v>
      </c>
      <c r="D45" s="3" t="str">
        <f t="shared" si="0"/>
        <v>Play central-Libertador</v>
      </c>
      <c r="E45" s="3" t="str">
        <f t="shared" si="1"/>
        <v>Madurez Temprana</v>
      </c>
      <c r="F45" s="3" t="s">
        <v>86</v>
      </c>
    </row>
    <row r="46" spans="1:6" x14ac:dyDescent="0.3">
      <c r="A46" s="8"/>
      <c r="B46" s="4">
        <v>9460</v>
      </c>
      <c r="C46" s="4">
        <v>0.57999999999999996</v>
      </c>
      <c r="D46" s="3" t="str">
        <f t="shared" si="0"/>
        <v>Play central-Libertador</v>
      </c>
      <c r="E46" s="3" t="str">
        <f t="shared" si="1"/>
        <v>Madurez Temprana</v>
      </c>
      <c r="F46" s="3" t="s">
        <v>86</v>
      </c>
    </row>
    <row r="47" spans="1:6" x14ac:dyDescent="0.3">
      <c r="A47" s="8"/>
      <c r="B47" s="4">
        <v>9461</v>
      </c>
      <c r="C47" s="4">
        <v>0.57999999999999996</v>
      </c>
      <c r="D47" s="3" t="str">
        <f t="shared" si="0"/>
        <v>Play central-Libertador</v>
      </c>
      <c r="E47" s="3" t="str">
        <f t="shared" si="1"/>
        <v>Madurez Temprana</v>
      </c>
      <c r="F47" s="3" t="s">
        <v>86</v>
      </c>
    </row>
    <row r="48" spans="1:6" x14ac:dyDescent="0.3">
      <c r="A48" s="8"/>
      <c r="B48" s="4">
        <v>9462</v>
      </c>
      <c r="C48" s="4">
        <v>0.57999999999999996</v>
      </c>
      <c r="D48" s="3" t="str">
        <f t="shared" si="0"/>
        <v>Play central-Libertador</v>
      </c>
      <c r="E48" s="3" t="str">
        <f t="shared" si="1"/>
        <v>Madurez Temprana</v>
      </c>
      <c r="F48" s="3" t="s">
        <v>86</v>
      </c>
    </row>
    <row r="49" spans="1:6" x14ac:dyDescent="0.3">
      <c r="A49" s="8"/>
      <c r="B49" s="4">
        <v>9464</v>
      </c>
      <c r="C49" s="4">
        <v>0.57999999999999996</v>
      </c>
      <c r="D49" s="3" t="str">
        <f t="shared" si="0"/>
        <v>Play central-Libertador</v>
      </c>
      <c r="E49" s="3" t="str">
        <f t="shared" si="1"/>
        <v>Madurez Temprana</v>
      </c>
      <c r="F49" s="3" t="s">
        <v>86</v>
      </c>
    </row>
    <row r="50" spans="1:6" x14ac:dyDescent="0.3">
      <c r="A50" s="8"/>
      <c r="B50" s="4">
        <v>9467</v>
      </c>
      <c r="C50" s="4">
        <v>0.57999999999999996</v>
      </c>
      <c r="D50" s="3" t="str">
        <f t="shared" si="0"/>
        <v>Play central-Libertador</v>
      </c>
      <c r="E50" s="3" t="str">
        <f t="shared" si="1"/>
        <v>Madurez Temprana</v>
      </c>
      <c r="F50" s="3" t="s">
        <v>86</v>
      </c>
    </row>
    <row r="51" spans="1:6" x14ac:dyDescent="0.3">
      <c r="A51" s="8"/>
      <c r="B51" s="4">
        <v>9470</v>
      </c>
      <c r="C51" s="4">
        <v>0.57999999999999996</v>
      </c>
      <c r="D51" s="3" t="str">
        <f t="shared" si="0"/>
        <v>Play central-Libertador</v>
      </c>
      <c r="E51" s="3" t="str">
        <f t="shared" si="1"/>
        <v>Madurez Temprana</v>
      </c>
      <c r="F51" s="3" t="s">
        <v>86</v>
      </c>
    </row>
    <row r="52" spans="1:6" x14ac:dyDescent="0.3">
      <c r="A52" s="8"/>
      <c r="B52" s="4">
        <v>9473.5</v>
      </c>
      <c r="C52" s="4">
        <v>0.57999999999999996</v>
      </c>
      <c r="D52" s="3" t="str">
        <f t="shared" si="0"/>
        <v>Play central-Libertador</v>
      </c>
      <c r="E52" s="3" t="str">
        <f t="shared" si="1"/>
        <v>Madurez Temprana</v>
      </c>
      <c r="F52" s="3" t="s">
        <v>86</v>
      </c>
    </row>
    <row r="53" spans="1:6" x14ac:dyDescent="0.3">
      <c r="A53" s="8"/>
      <c r="B53" s="4">
        <v>9478</v>
      </c>
      <c r="C53" s="4">
        <v>0.57999999999999996</v>
      </c>
      <c r="D53" s="3" t="str">
        <f t="shared" si="0"/>
        <v>Play central-Libertador</v>
      </c>
      <c r="E53" s="3" t="str">
        <f t="shared" si="1"/>
        <v>Madurez Temprana</v>
      </c>
      <c r="F53" s="3" t="s">
        <v>86</v>
      </c>
    </row>
    <row r="54" spans="1:6" x14ac:dyDescent="0.3">
      <c r="A54" s="8"/>
      <c r="B54" s="4">
        <v>9482</v>
      </c>
      <c r="C54" s="4">
        <v>0.57999999999999996</v>
      </c>
      <c r="D54" s="3" t="str">
        <f t="shared" si="0"/>
        <v>Play central-Libertador</v>
      </c>
      <c r="E54" s="3" t="str">
        <f t="shared" si="1"/>
        <v>Madurez Temprana</v>
      </c>
      <c r="F54" s="3" t="s">
        <v>86</v>
      </c>
    </row>
    <row r="55" spans="1:6" x14ac:dyDescent="0.3">
      <c r="A55" s="8"/>
      <c r="B55" s="4">
        <v>9484</v>
      </c>
      <c r="C55" s="4">
        <v>0.57999999999999996</v>
      </c>
      <c r="D55" s="3" t="str">
        <f t="shared" si="0"/>
        <v>Play central-Libertador</v>
      </c>
      <c r="E55" s="3" t="str">
        <f t="shared" si="1"/>
        <v>Madurez Temprana</v>
      </c>
      <c r="F55" s="3" t="s">
        <v>86</v>
      </c>
    </row>
    <row r="56" spans="1:6" x14ac:dyDescent="0.3">
      <c r="A56" s="8"/>
      <c r="B56" s="4">
        <f>'[1]Lago Agrio-0037'!B145</f>
        <v>9496</v>
      </c>
      <c r="C56" s="4">
        <f>'[1]Lago Agrio-0037'!C145</f>
        <v>0.65</v>
      </c>
      <c r="D56" s="3" t="str">
        <f t="shared" si="0"/>
        <v>Play central-Libertador</v>
      </c>
      <c r="E56" s="3" t="str">
        <f t="shared" si="1"/>
        <v>Madurez Temprana</v>
      </c>
      <c r="F56" s="3" t="s">
        <v>86</v>
      </c>
    </row>
    <row r="57" spans="1:6" x14ac:dyDescent="0.3">
      <c r="A57" s="8" t="s">
        <v>16</v>
      </c>
      <c r="B57" s="4" cm="1">
        <f t="array" ref="B57:B58">'[1]Biguno-0001'!B128:B129</f>
        <v>9551</v>
      </c>
      <c r="C57" s="4">
        <v>0.62</v>
      </c>
      <c r="D57" s="3" t="str">
        <f t="shared" si="0"/>
        <v>Play central-Libertador</v>
      </c>
      <c r="E57" s="3" t="str">
        <f t="shared" si="1"/>
        <v>Madurez Temprana</v>
      </c>
      <c r="F57" s="3" t="s">
        <v>83</v>
      </c>
    </row>
    <row r="58" spans="1:6" x14ac:dyDescent="0.3">
      <c r="A58" s="8"/>
      <c r="B58" s="4">
        <v>9554</v>
      </c>
      <c r="C58" s="4">
        <v>0.62</v>
      </c>
      <c r="D58" s="3" t="str">
        <f t="shared" si="0"/>
        <v>Play central-Libertador</v>
      </c>
      <c r="E58" s="3" t="str">
        <f t="shared" si="1"/>
        <v>Madurez Temprana</v>
      </c>
      <c r="F58" s="3" t="s">
        <v>83</v>
      </c>
    </row>
    <row r="59" spans="1:6" x14ac:dyDescent="0.3">
      <c r="A59" s="8" t="s">
        <v>17</v>
      </c>
      <c r="B59" s="4" cm="1">
        <f t="array" ref="B59:B65">'[1]Huachito-0001'!B128:B134</f>
        <v>9430</v>
      </c>
      <c r="C59" s="4">
        <v>0.61</v>
      </c>
      <c r="D59" s="3" t="str">
        <f t="shared" si="0"/>
        <v>Play central-Libertador</v>
      </c>
      <c r="E59" s="3" t="str">
        <f t="shared" si="1"/>
        <v>Madurez Temprana</v>
      </c>
      <c r="F59" s="3" t="s">
        <v>83</v>
      </c>
    </row>
    <row r="60" spans="1:6" x14ac:dyDescent="0.3">
      <c r="A60" s="8"/>
      <c r="B60" s="4">
        <v>9483</v>
      </c>
      <c r="C60" s="4">
        <v>0.61</v>
      </c>
      <c r="D60" s="3" t="str">
        <f t="shared" si="0"/>
        <v>Play central-Libertador</v>
      </c>
      <c r="E60" s="3" t="str">
        <f t="shared" si="1"/>
        <v>Madurez Temprana</v>
      </c>
      <c r="F60" s="3" t="s">
        <v>83</v>
      </c>
    </row>
    <row r="61" spans="1:6" x14ac:dyDescent="0.3">
      <c r="A61" s="8"/>
      <c r="B61" s="4">
        <v>9486</v>
      </c>
      <c r="C61" s="4">
        <v>0.61</v>
      </c>
      <c r="D61" s="3" t="str">
        <f t="shared" si="0"/>
        <v>Play central-Libertador</v>
      </c>
      <c r="E61" s="3" t="str">
        <f t="shared" si="1"/>
        <v>Madurez Temprana</v>
      </c>
      <c r="F61" s="3" t="s">
        <v>83</v>
      </c>
    </row>
    <row r="62" spans="1:6" x14ac:dyDescent="0.3">
      <c r="A62" s="8"/>
      <c r="B62" s="4">
        <v>9492</v>
      </c>
      <c r="C62" s="4">
        <v>0.61</v>
      </c>
      <c r="D62" s="3" t="str">
        <f t="shared" si="0"/>
        <v>Play central-Libertador</v>
      </c>
      <c r="E62" s="3" t="str">
        <f t="shared" si="1"/>
        <v>Madurez Temprana</v>
      </c>
      <c r="F62" s="3" t="s">
        <v>83</v>
      </c>
    </row>
    <row r="63" spans="1:6" x14ac:dyDescent="0.3">
      <c r="A63" s="8"/>
      <c r="B63" s="4">
        <v>9495</v>
      </c>
      <c r="C63" s="4">
        <v>0.61</v>
      </c>
      <c r="D63" s="3" t="str">
        <f t="shared" si="0"/>
        <v>Play central-Libertador</v>
      </c>
      <c r="E63" s="3" t="str">
        <f t="shared" si="1"/>
        <v>Madurez Temprana</v>
      </c>
      <c r="F63" s="3" t="s">
        <v>83</v>
      </c>
    </row>
    <row r="64" spans="1:6" x14ac:dyDescent="0.3">
      <c r="A64" s="8"/>
      <c r="B64" s="4">
        <v>9511</v>
      </c>
      <c r="C64" s="4">
        <v>0.61</v>
      </c>
      <c r="D64" s="3" t="str">
        <f t="shared" ref="D64:D127" si="2">IF(B64&lt;4900, "Play subandino-Bermejo", IF(B64&lt;=6000, "Play oriental ITT", "Play central-Libertador"))</f>
        <v>Play central-Libertador</v>
      </c>
      <c r="E64" s="3" t="str">
        <f t="shared" si="1"/>
        <v>Madurez Temprana</v>
      </c>
      <c r="F64" s="3" t="s">
        <v>83</v>
      </c>
    </row>
    <row r="65" spans="1:6" x14ac:dyDescent="0.3">
      <c r="A65" s="8"/>
      <c r="B65" s="4">
        <v>9521.5</v>
      </c>
      <c r="C65" s="4">
        <v>0.61</v>
      </c>
      <c r="D65" s="3" t="str">
        <f t="shared" si="2"/>
        <v>Play central-Libertador</v>
      </c>
      <c r="E65" s="3" t="str">
        <f t="shared" ref="E65:E128" si="3">IF(C65&lt;0.55, "Inmaduro", IF(C65&lt;0.7, "Madurez Temprana",IF(C65&lt;=1,"Maduro","Sobremaduro")))</f>
        <v>Madurez Temprana</v>
      </c>
      <c r="F65" s="3" t="s">
        <v>83</v>
      </c>
    </row>
    <row r="66" spans="1:6" x14ac:dyDescent="0.3">
      <c r="A66" s="8" t="s">
        <v>18</v>
      </c>
      <c r="B66" s="4">
        <f>'[1]Payamino-0001'!B129</f>
        <v>8763.1</v>
      </c>
      <c r="C66" s="4">
        <f>'[1]Payamino-0001'!C129</f>
        <v>0.5099999999999999</v>
      </c>
      <c r="D66" s="3" t="str">
        <f t="shared" si="2"/>
        <v>Play central-Libertador</v>
      </c>
      <c r="E66" s="3" t="str">
        <f t="shared" si="3"/>
        <v>Inmaduro</v>
      </c>
      <c r="F66" s="3" t="s">
        <v>90</v>
      </c>
    </row>
    <row r="67" spans="1:6" x14ac:dyDescent="0.3">
      <c r="A67" s="8"/>
      <c r="B67" s="4" cm="1">
        <f t="array" ref="B67:B69">'[1]Payamino-0001'!B135:B137</f>
        <v>9271.7000000000007</v>
      </c>
      <c r="C67" s="4" cm="1">
        <f t="array" ref="C67:C69">'[1]Payamino-0001'!C135:C137</f>
        <v>0.57000000000000006</v>
      </c>
      <c r="D67" s="3" t="str">
        <f t="shared" si="2"/>
        <v>Play central-Libertador</v>
      </c>
      <c r="E67" s="3" t="str">
        <f t="shared" si="3"/>
        <v>Madurez Temprana</v>
      </c>
      <c r="F67" s="3" t="s">
        <v>92</v>
      </c>
    </row>
    <row r="68" spans="1:6" x14ac:dyDescent="0.3">
      <c r="A68" s="8"/>
      <c r="B68" s="4">
        <v>9360.2000000000007</v>
      </c>
      <c r="C68" s="4">
        <v>0.57999999999999996</v>
      </c>
      <c r="D68" s="3" t="str">
        <f t="shared" si="2"/>
        <v>Play central-Libertador</v>
      </c>
      <c r="E68" s="3" t="str">
        <f t="shared" si="3"/>
        <v>Madurez Temprana</v>
      </c>
      <c r="F68" s="3" t="s">
        <v>90</v>
      </c>
    </row>
    <row r="69" spans="1:6" x14ac:dyDescent="0.3">
      <c r="A69" s="8"/>
      <c r="B69" s="4">
        <v>9547.2000000000007</v>
      </c>
      <c r="C69" s="4">
        <v>0.60999999999999988</v>
      </c>
      <c r="D69" s="3" t="str">
        <f t="shared" si="2"/>
        <v>Play central-Libertador</v>
      </c>
      <c r="E69" s="3" t="str">
        <f t="shared" si="3"/>
        <v>Madurez Temprana</v>
      </c>
      <c r="F69" s="3" t="s">
        <v>83</v>
      </c>
    </row>
    <row r="70" spans="1:6" x14ac:dyDescent="0.3">
      <c r="A70" s="8" t="s">
        <v>19</v>
      </c>
      <c r="B70" s="4" cm="1">
        <f t="array" ref="B70:B71">'[1]Sacha-0129'!B128:B129</f>
        <v>9580</v>
      </c>
      <c r="C70" s="4" cm="1">
        <f t="array" ref="C70:C71">'[1]Sacha-0129'!C128:C129</f>
        <v>0.66500000000000004</v>
      </c>
      <c r="D70" s="3" t="str">
        <f t="shared" si="2"/>
        <v>Play central-Libertador</v>
      </c>
      <c r="E70" s="3" t="str">
        <f t="shared" si="3"/>
        <v>Madurez Temprana</v>
      </c>
      <c r="F70" s="3" t="s">
        <v>84</v>
      </c>
    </row>
    <row r="71" spans="1:6" x14ac:dyDescent="0.3">
      <c r="A71" s="8"/>
      <c r="B71" s="4">
        <v>9607</v>
      </c>
      <c r="C71" s="6">
        <v>0.76333333333333331</v>
      </c>
      <c r="D71" s="3" t="str">
        <f t="shared" si="2"/>
        <v>Play central-Libertador</v>
      </c>
      <c r="E71" s="3" t="str">
        <f t="shared" si="3"/>
        <v>Maduro</v>
      </c>
      <c r="F71" s="3" t="s">
        <v>84</v>
      </c>
    </row>
    <row r="72" spans="1:6" x14ac:dyDescent="0.3">
      <c r="A72" s="8"/>
      <c r="B72" s="4">
        <f>'[1]Sacha-0129'!B132</f>
        <v>9987</v>
      </c>
      <c r="C72" s="4">
        <f>'[1]Sacha-0129'!C132</f>
        <v>0.93500000000000005</v>
      </c>
      <c r="D72" s="3" t="str">
        <f t="shared" si="2"/>
        <v>Play central-Libertador</v>
      </c>
      <c r="E72" s="3" t="str">
        <f t="shared" si="3"/>
        <v>Maduro</v>
      </c>
      <c r="F72" s="3" t="s">
        <v>83</v>
      </c>
    </row>
    <row r="73" spans="1:6" x14ac:dyDescent="0.3">
      <c r="A73" s="8" t="s">
        <v>20</v>
      </c>
      <c r="B73" s="4" cm="1">
        <f t="array" ref="B73:B76">'[1]Sacha-0133'!B129:B132</f>
        <v>9708</v>
      </c>
      <c r="C73" s="4">
        <v>0.84</v>
      </c>
      <c r="D73" s="3" t="str">
        <f t="shared" si="2"/>
        <v>Play central-Libertador</v>
      </c>
      <c r="E73" s="3" t="str">
        <f t="shared" si="3"/>
        <v>Maduro</v>
      </c>
      <c r="F73" s="3" t="s">
        <v>92</v>
      </c>
    </row>
    <row r="74" spans="1:6" x14ac:dyDescent="0.3">
      <c r="A74" s="8"/>
      <c r="B74" s="4">
        <v>9709</v>
      </c>
      <c r="C74" s="4">
        <v>0.84</v>
      </c>
      <c r="D74" s="3" t="str">
        <f t="shared" si="2"/>
        <v>Play central-Libertador</v>
      </c>
      <c r="E74" s="3" t="str">
        <f t="shared" si="3"/>
        <v>Maduro</v>
      </c>
      <c r="F74" s="3" t="s">
        <v>92</v>
      </c>
    </row>
    <row r="75" spans="1:6" x14ac:dyDescent="0.3">
      <c r="A75" s="8"/>
      <c r="B75" s="4">
        <v>9710</v>
      </c>
      <c r="C75" s="4">
        <v>0.84</v>
      </c>
      <c r="D75" s="3" t="str">
        <f t="shared" si="2"/>
        <v>Play central-Libertador</v>
      </c>
      <c r="E75" s="3" t="str">
        <f t="shared" si="3"/>
        <v>Maduro</v>
      </c>
      <c r="F75" s="3" t="s">
        <v>92</v>
      </c>
    </row>
    <row r="76" spans="1:6" x14ac:dyDescent="0.3">
      <c r="A76" s="8"/>
      <c r="B76" s="4">
        <v>9714</v>
      </c>
      <c r="C76" s="4">
        <v>0.84</v>
      </c>
      <c r="D76" s="3" t="str">
        <f t="shared" si="2"/>
        <v>Play central-Libertador</v>
      </c>
      <c r="E76" s="3" t="str">
        <f t="shared" si="3"/>
        <v>Maduro</v>
      </c>
      <c r="F76" s="3" t="s">
        <v>92</v>
      </c>
    </row>
    <row r="77" spans="1:6" x14ac:dyDescent="0.3">
      <c r="A77" s="8" t="s">
        <v>21</v>
      </c>
      <c r="B77" s="4" cm="1">
        <f t="array" ref="B77:B97">'[1]Sacha-0126'!B128:B148</f>
        <v>9425</v>
      </c>
      <c r="C77" s="4">
        <v>0.51</v>
      </c>
      <c r="D77" s="3" t="str">
        <f t="shared" si="2"/>
        <v>Play central-Libertador</v>
      </c>
      <c r="E77" s="3" t="str">
        <f t="shared" si="3"/>
        <v>Inmaduro</v>
      </c>
      <c r="F77" s="3" t="s">
        <v>84</v>
      </c>
    </row>
    <row r="78" spans="1:6" x14ac:dyDescent="0.3">
      <c r="A78" s="8"/>
      <c r="B78" s="4">
        <v>9428</v>
      </c>
      <c r="C78" s="4">
        <v>0.51</v>
      </c>
      <c r="D78" s="3" t="str">
        <f t="shared" si="2"/>
        <v>Play central-Libertador</v>
      </c>
      <c r="E78" s="3" t="str">
        <f t="shared" si="3"/>
        <v>Inmaduro</v>
      </c>
      <c r="F78" s="3" t="s">
        <v>84</v>
      </c>
    </row>
    <row r="79" spans="1:6" x14ac:dyDescent="0.3">
      <c r="A79" s="8"/>
      <c r="B79" s="4">
        <v>9435</v>
      </c>
      <c r="C79" s="4">
        <v>0.51</v>
      </c>
      <c r="D79" s="3" t="str">
        <f t="shared" si="2"/>
        <v>Play central-Libertador</v>
      </c>
      <c r="E79" s="3" t="str">
        <f t="shared" si="3"/>
        <v>Inmaduro</v>
      </c>
      <c r="F79" s="3" t="s">
        <v>84</v>
      </c>
    </row>
    <row r="80" spans="1:6" x14ac:dyDescent="0.3">
      <c r="A80" s="8"/>
      <c r="B80" s="4">
        <v>9441</v>
      </c>
      <c r="C80" s="4">
        <v>0.51</v>
      </c>
      <c r="D80" s="3" t="str">
        <f t="shared" si="2"/>
        <v>Play central-Libertador</v>
      </c>
      <c r="E80" s="3" t="str">
        <f t="shared" si="3"/>
        <v>Inmaduro</v>
      </c>
      <c r="F80" s="3" t="s">
        <v>84</v>
      </c>
    </row>
    <row r="81" spans="1:6" x14ac:dyDescent="0.3">
      <c r="A81" s="8"/>
      <c r="B81" s="4">
        <v>9445</v>
      </c>
      <c r="C81" s="4">
        <v>0.51</v>
      </c>
      <c r="D81" s="3" t="str">
        <f t="shared" si="2"/>
        <v>Play central-Libertador</v>
      </c>
      <c r="E81" s="3" t="str">
        <f t="shared" si="3"/>
        <v>Inmaduro</v>
      </c>
      <c r="F81" s="3" t="s">
        <v>84</v>
      </c>
    </row>
    <row r="82" spans="1:6" x14ac:dyDescent="0.3">
      <c r="A82" s="8"/>
      <c r="B82" s="4">
        <v>9448.5</v>
      </c>
      <c r="C82" s="4">
        <v>0.51</v>
      </c>
      <c r="D82" s="3" t="str">
        <f t="shared" si="2"/>
        <v>Play central-Libertador</v>
      </c>
      <c r="E82" s="3" t="str">
        <f t="shared" si="3"/>
        <v>Inmaduro</v>
      </c>
      <c r="F82" s="3" t="s">
        <v>84</v>
      </c>
    </row>
    <row r="83" spans="1:6" x14ac:dyDescent="0.3">
      <c r="A83" s="8"/>
      <c r="B83" s="4">
        <v>9453</v>
      </c>
      <c r="C83" s="4">
        <v>0.51</v>
      </c>
      <c r="D83" s="3" t="str">
        <f t="shared" si="2"/>
        <v>Play central-Libertador</v>
      </c>
      <c r="E83" s="3" t="str">
        <f t="shared" si="3"/>
        <v>Inmaduro</v>
      </c>
      <c r="F83" s="3" t="s">
        <v>84</v>
      </c>
    </row>
    <row r="84" spans="1:6" x14ac:dyDescent="0.3">
      <c r="A84" s="8"/>
      <c r="B84" s="4">
        <v>9652</v>
      </c>
      <c r="C84" s="4">
        <v>0.72</v>
      </c>
      <c r="D84" s="3" t="str">
        <f t="shared" si="2"/>
        <v>Play central-Libertador</v>
      </c>
      <c r="E84" s="3" t="str">
        <f t="shared" si="3"/>
        <v>Maduro</v>
      </c>
      <c r="F84" s="3" t="s">
        <v>92</v>
      </c>
    </row>
    <row r="85" spans="1:6" x14ac:dyDescent="0.3">
      <c r="A85" s="8"/>
      <c r="B85" s="4">
        <v>9657.5</v>
      </c>
      <c r="C85" s="4">
        <v>0.72</v>
      </c>
      <c r="D85" s="3" t="str">
        <f t="shared" si="2"/>
        <v>Play central-Libertador</v>
      </c>
      <c r="E85" s="3" t="str">
        <f t="shared" si="3"/>
        <v>Maduro</v>
      </c>
      <c r="F85" s="3" t="s">
        <v>92</v>
      </c>
    </row>
    <row r="86" spans="1:6" x14ac:dyDescent="0.3">
      <c r="A86" s="8"/>
      <c r="B86" s="4">
        <v>9659</v>
      </c>
      <c r="C86" s="4">
        <v>0.72</v>
      </c>
      <c r="D86" s="3" t="str">
        <f t="shared" si="2"/>
        <v>Play central-Libertador</v>
      </c>
      <c r="E86" s="3" t="str">
        <f t="shared" si="3"/>
        <v>Maduro</v>
      </c>
      <c r="F86" s="3" t="s">
        <v>92</v>
      </c>
    </row>
    <row r="87" spans="1:6" x14ac:dyDescent="0.3">
      <c r="A87" s="8"/>
      <c r="B87" s="4">
        <v>9663.5</v>
      </c>
      <c r="C87" s="4">
        <v>0.72</v>
      </c>
      <c r="D87" s="3" t="str">
        <f t="shared" si="2"/>
        <v>Play central-Libertador</v>
      </c>
      <c r="E87" s="3" t="str">
        <f t="shared" si="3"/>
        <v>Maduro</v>
      </c>
      <c r="F87" s="3" t="s">
        <v>92</v>
      </c>
    </row>
    <row r="88" spans="1:6" x14ac:dyDescent="0.3">
      <c r="A88" s="8"/>
      <c r="B88" s="4">
        <v>9668.5</v>
      </c>
      <c r="C88" s="4">
        <v>0.72</v>
      </c>
      <c r="D88" s="3" t="str">
        <f t="shared" si="2"/>
        <v>Play central-Libertador</v>
      </c>
      <c r="E88" s="3" t="str">
        <f t="shared" si="3"/>
        <v>Maduro</v>
      </c>
      <c r="F88" s="3" t="s">
        <v>92</v>
      </c>
    </row>
    <row r="89" spans="1:6" x14ac:dyDescent="0.3">
      <c r="A89" s="8"/>
      <c r="B89" s="4">
        <v>9673.5</v>
      </c>
      <c r="C89" s="4">
        <v>0.72</v>
      </c>
      <c r="D89" s="3" t="str">
        <f t="shared" si="2"/>
        <v>Play central-Libertador</v>
      </c>
      <c r="E89" s="3" t="str">
        <f t="shared" si="3"/>
        <v>Maduro</v>
      </c>
      <c r="F89" s="3" t="s">
        <v>92</v>
      </c>
    </row>
    <row r="90" spans="1:6" x14ac:dyDescent="0.3">
      <c r="A90" s="8"/>
      <c r="B90" s="4">
        <v>9682</v>
      </c>
      <c r="C90" s="4">
        <v>0.72</v>
      </c>
      <c r="D90" s="3" t="str">
        <f t="shared" si="2"/>
        <v>Play central-Libertador</v>
      </c>
      <c r="E90" s="3" t="str">
        <f t="shared" si="3"/>
        <v>Maduro</v>
      </c>
      <c r="F90" s="3" t="s">
        <v>92</v>
      </c>
    </row>
    <row r="91" spans="1:6" x14ac:dyDescent="0.3">
      <c r="A91" s="8"/>
      <c r="B91" s="4">
        <v>9828</v>
      </c>
      <c r="C91" s="4">
        <v>0.87</v>
      </c>
      <c r="D91" s="3" t="str">
        <f t="shared" si="2"/>
        <v>Play central-Libertador</v>
      </c>
      <c r="E91" s="3" t="str">
        <f t="shared" si="3"/>
        <v>Maduro</v>
      </c>
      <c r="F91" s="3" t="s">
        <v>83</v>
      </c>
    </row>
    <row r="92" spans="1:6" x14ac:dyDescent="0.3">
      <c r="A92" s="8"/>
      <c r="B92" s="4">
        <v>9834.5</v>
      </c>
      <c r="C92" s="4">
        <v>0.87</v>
      </c>
      <c r="D92" s="3" t="str">
        <f t="shared" si="2"/>
        <v>Play central-Libertador</v>
      </c>
      <c r="E92" s="3" t="str">
        <f t="shared" si="3"/>
        <v>Maduro</v>
      </c>
      <c r="F92" s="3" t="s">
        <v>83</v>
      </c>
    </row>
    <row r="93" spans="1:6" x14ac:dyDescent="0.3">
      <c r="A93" s="8"/>
      <c r="B93" s="4">
        <v>9851</v>
      </c>
      <c r="C93" s="4">
        <v>0.87</v>
      </c>
      <c r="D93" s="3" t="str">
        <f t="shared" si="2"/>
        <v>Play central-Libertador</v>
      </c>
      <c r="E93" s="3" t="str">
        <f t="shared" si="3"/>
        <v>Maduro</v>
      </c>
      <c r="F93" s="3" t="s">
        <v>83</v>
      </c>
    </row>
    <row r="94" spans="1:6" x14ac:dyDescent="0.3">
      <c r="A94" s="8"/>
      <c r="B94" s="4">
        <v>9876</v>
      </c>
      <c r="C94" s="4">
        <v>0.87</v>
      </c>
      <c r="D94" s="3" t="str">
        <f t="shared" si="2"/>
        <v>Play central-Libertador</v>
      </c>
      <c r="E94" s="3" t="str">
        <f t="shared" si="3"/>
        <v>Maduro</v>
      </c>
      <c r="F94" s="3" t="s">
        <v>83</v>
      </c>
    </row>
    <row r="95" spans="1:6" x14ac:dyDescent="0.3">
      <c r="A95" s="8"/>
      <c r="B95" s="4">
        <v>9878</v>
      </c>
      <c r="C95" s="4">
        <v>0.87</v>
      </c>
      <c r="D95" s="3" t="str">
        <f t="shared" si="2"/>
        <v>Play central-Libertador</v>
      </c>
      <c r="E95" s="3" t="str">
        <f t="shared" si="3"/>
        <v>Maduro</v>
      </c>
      <c r="F95" s="3" t="s">
        <v>83</v>
      </c>
    </row>
    <row r="96" spans="1:6" x14ac:dyDescent="0.3">
      <c r="A96" s="8"/>
      <c r="B96" s="4">
        <v>9879</v>
      </c>
      <c r="C96" s="4">
        <v>0.87</v>
      </c>
      <c r="D96" s="3" t="str">
        <f t="shared" si="2"/>
        <v>Play central-Libertador</v>
      </c>
      <c r="E96" s="3" t="str">
        <f t="shared" si="3"/>
        <v>Maduro</v>
      </c>
      <c r="F96" s="3" t="s">
        <v>83</v>
      </c>
    </row>
    <row r="97" spans="1:6" x14ac:dyDescent="0.3">
      <c r="A97" s="8"/>
      <c r="B97" s="4">
        <v>9880</v>
      </c>
      <c r="C97" s="4">
        <v>0.87</v>
      </c>
      <c r="D97" s="3" t="str">
        <f t="shared" si="2"/>
        <v>Play central-Libertador</v>
      </c>
      <c r="E97" s="3" t="str">
        <f t="shared" si="3"/>
        <v>Maduro</v>
      </c>
      <c r="F97" s="3" t="s">
        <v>83</v>
      </c>
    </row>
    <row r="98" spans="1:6" x14ac:dyDescent="0.3">
      <c r="A98" s="5" t="s">
        <v>22</v>
      </c>
      <c r="B98" s="4">
        <f>'[1]Sacha-0130'!B128</f>
        <v>9659</v>
      </c>
      <c r="C98" s="4">
        <v>0.75</v>
      </c>
      <c r="D98" s="3" t="str">
        <f t="shared" si="2"/>
        <v>Play central-Libertador</v>
      </c>
      <c r="E98" s="3" t="str">
        <f t="shared" si="3"/>
        <v>Maduro</v>
      </c>
      <c r="F98" s="3" t="s">
        <v>92</v>
      </c>
    </row>
    <row r="99" spans="1:6" x14ac:dyDescent="0.3">
      <c r="A99" s="5" t="s">
        <v>23</v>
      </c>
      <c r="B99" s="4">
        <f>'[1]Sacha-0122'!B128</f>
        <v>9863</v>
      </c>
      <c r="C99" s="4">
        <f>'[1]Sacha-0122'!C128</f>
        <v>0.89</v>
      </c>
      <c r="D99" s="3" t="str">
        <f t="shared" si="2"/>
        <v>Play central-Libertador</v>
      </c>
      <c r="E99" s="3" t="str">
        <f t="shared" si="3"/>
        <v>Maduro</v>
      </c>
      <c r="F99" s="3" t="s">
        <v>83</v>
      </c>
    </row>
    <row r="100" spans="1:6" x14ac:dyDescent="0.3">
      <c r="A100" s="8" t="s">
        <v>24</v>
      </c>
      <c r="B100" s="4">
        <f>'[1]Sacha-0146'!B129</f>
        <v>9450</v>
      </c>
      <c r="C100" s="4">
        <f>'[1]Sacha-0146'!C129</f>
        <v>0.49000000000000005</v>
      </c>
      <c r="D100" s="3" t="str">
        <f t="shared" si="2"/>
        <v>Play central-Libertador</v>
      </c>
      <c r="E100" s="3" t="str">
        <f t="shared" si="3"/>
        <v>Inmaduro</v>
      </c>
      <c r="F100" s="3" t="s">
        <v>83</v>
      </c>
    </row>
    <row r="101" spans="1:6" x14ac:dyDescent="0.3">
      <c r="A101" s="8"/>
      <c r="B101" s="4">
        <f>'[1]Sacha-0146'!B131</f>
        <v>9756</v>
      </c>
      <c r="C101" s="4">
        <f>'[1]Sacha-0146'!C131</f>
        <v>0.7</v>
      </c>
      <c r="D101" s="3" t="str">
        <f t="shared" si="2"/>
        <v>Play central-Libertador</v>
      </c>
      <c r="E101" s="3" t="str">
        <f t="shared" si="3"/>
        <v>Maduro</v>
      </c>
      <c r="F101" s="3" t="s">
        <v>83</v>
      </c>
    </row>
    <row r="102" spans="1:6" x14ac:dyDescent="0.3">
      <c r="A102" s="8"/>
      <c r="B102" s="4" cm="1">
        <f t="array" ref="B102:B110">'[1]Sacha-0146'!B133:B141</f>
        <v>9854</v>
      </c>
      <c r="C102" s="4">
        <v>0.84</v>
      </c>
      <c r="D102" s="3" t="str">
        <f t="shared" si="2"/>
        <v>Play central-Libertador</v>
      </c>
      <c r="E102" s="3" t="str">
        <f t="shared" si="3"/>
        <v>Maduro</v>
      </c>
      <c r="F102" s="3" t="s">
        <v>83</v>
      </c>
    </row>
    <row r="103" spans="1:6" x14ac:dyDescent="0.3">
      <c r="A103" s="8"/>
      <c r="B103" s="4">
        <v>9871</v>
      </c>
      <c r="C103" s="4">
        <v>0.84</v>
      </c>
      <c r="D103" s="3" t="str">
        <f t="shared" si="2"/>
        <v>Play central-Libertador</v>
      </c>
      <c r="E103" s="3" t="str">
        <f t="shared" si="3"/>
        <v>Maduro</v>
      </c>
      <c r="F103" s="3" t="s">
        <v>83</v>
      </c>
    </row>
    <row r="104" spans="1:6" x14ac:dyDescent="0.3">
      <c r="A104" s="8"/>
      <c r="B104" s="4">
        <v>9874</v>
      </c>
      <c r="C104" s="4">
        <v>0.84</v>
      </c>
      <c r="D104" s="3" t="str">
        <f t="shared" si="2"/>
        <v>Play central-Libertador</v>
      </c>
      <c r="E104" s="3" t="str">
        <f t="shared" si="3"/>
        <v>Maduro</v>
      </c>
      <c r="F104" s="3" t="s">
        <v>83</v>
      </c>
    </row>
    <row r="105" spans="1:6" x14ac:dyDescent="0.3">
      <c r="A105" s="8"/>
      <c r="B105" s="4">
        <v>9877</v>
      </c>
      <c r="C105" s="4">
        <v>0.84</v>
      </c>
      <c r="D105" s="3" t="str">
        <f t="shared" si="2"/>
        <v>Play central-Libertador</v>
      </c>
      <c r="E105" s="3" t="str">
        <f t="shared" si="3"/>
        <v>Maduro</v>
      </c>
      <c r="F105" s="3" t="s">
        <v>83</v>
      </c>
    </row>
    <row r="106" spans="1:6" x14ac:dyDescent="0.3">
      <c r="A106" s="8"/>
      <c r="B106" s="4">
        <v>9894</v>
      </c>
      <c r="C106" s="4">
        <v>0.84</v>
      </c>
      <c r="D106" s="3" t="str">
        <f t="shared" si="2"/>
        <v>Play central-Libertador</v>
      </c>
      <c r="E106" s="3" t="str">
        <f t="shared" si="3"/>
        <v>Maduro</v>
      </c>
      <c r="F106" s="3" t="s">
        <v>83</v>
      </c>
    </row>
    <row r="107" spans="1:6" x14ac:dyDescent="0.3">
      <c r="A107" s="8"/>
      <c r="B107" s="4">
        <v>9900</v>
      </c>
      <c r="C107" s="4">
        <v>0.84</v>
      </c>
      <c r="D107" s="3" t="str">
        <f t="shared" si="2"/>
        <v>Play central-Libertador</v>
      </c>
      <c r="E107" s="3" t="str">
        <f t="shared" si="3"/>
        <v>Maduro</v>
      </c>
      <c r="F107" s="3" t="s">
        <v>83</v>
      </c>
    </row>
    <row r="108" spans="1:6" x14ac:dyDescent="0.3">
      <c r="A108" s="8"/>
      <c r="B108" s="4">
        <v>9903.5</v>
      </c>
      <c r="C108" s="4">
        <v>0.84</v>
      </c>
      <c r="D108" s="3" t="str">
        <f t="shared" si="2"/>
        <v>Play central-Libertador</v>
      </c>
      <c r="E108" s="3" t="str">
        <f t="shared" si="3"/>
        <v>Maduro</v>
      </c>
      <c r="F108" s="3" t="s">
        <v>83</v>
      </c>
    </row>
    <row r="109" spans="1:6" x14ac:dyDescent="0.3">
      <c r="A109" s="8"/>
      <c r="B109" s="4">
        <v>9907.5</v>
      </c>
      <c r="C109" s="4">
        <v>0.84</v>
      </c>
      <c r="D109" s="3" t="str">
        <f t="shared" si="2"/>
        <v>Play central-Libertador</v>
      </c>
      <c r="E109" s="3" t="str">
        <f t="shared" si="3"/>
        <v>Maduro</v>
      </c>
      <c r="F109" s="3" t="s">
        <v>83</v>
      </c>
    </row>
    <row r="110" spans="1:6" x14ac:dyDescent="0.3">
      <c r="A110" s="8"/>
      <c r="B110" s="4">
        <v>9908.5</v>
      </c>
      <c r="C110" s="4">
        <v>0.84</v>
      </c>
      <c r="D110" s="3" t="str">
        <f t="shared" si="2"/>
        <v>Play central-Libertador</v>
      </c>
      <c r="E110" s="3" t="str">
        <f t="shared" si="3"/>
        <v>Maduro</v>
      </c>
      <c r="F110" s="3" t="s">
        <v>83</v>
      </c>
    </row>
    <row r="111" spans="1:6" x14ac:dyDescent="0.3">
      <c r="A111" s="8" t="s">
        <v>25</v>
      </c>
      <c r="B111" s="4">
        <f>'[1]Peña Blanca-0001'!B130</f>
        <v>8821</v>
      </c>
      <c r="C111" s="4">
        <f>'[1]Peña Blanca-0001'!C130</f>
        <v>0.55000000000000004</v>
      </c>
      <c r="D111" s="3" t="str">
        <f t="shared" si="2"/>
        <v>Play central-Libertador</v>
      </c>
      <c r="E111" s="3" t="str">
        <f t="shared" si="3"/>
        <v>Madurez Temprana</v>
      </c>
      <c r="F111" s="3" t="s">
        <v>84</v>
      </c>
    </row>
    <row r="112" spans="1:6" x14ac:dyDescent="0.3">
      <c r="A112" s="8"/>
      <c r="B112" s="4" cm="1">
        <f t="array" ref="B112:B113">'[1]Peña Blanca-0001'!B132:B133</f>
        <v>8836</v>
      </c>
      <c r="C112" s="4">
        <v>0.57999999999999996</v>
      </c>
      <c r="D112" s="3" t="str">
        <f t="shared" si="2"/>
        <v>Play central-Libertador</v>
      </c>
      <c r="E112" s="3" t="str">
        <f t="shared" si="3"/>
        <v>Madurez Temprana</v>
      </c>
      <c r="F112" s="3" t="s">
        <v>84</v>
      </c>
    </row>
    <row r="113" spans="1:6" x14ac:dyDescent="0.3">
      <c r="A113" s="8"/>
      <c r="B113" s="4">
        <v>8841</v>
      </c>
      <c r="C113" s="4">
        <v>0.57999999999999996</v>
      </c>
      <c r="D113" s="3" t="str">
        <f t="shared" si="2"/>
        <v>Play central-Libertador</v>
      </c>
      <c r="E113" s="3" t="str">
        <f t="shared" si="3"/>
        <v>Madurez Temprana</v>
      </c>
      <c r="F113" s="3" t="s">
        <v>84</v>
      </c>
    </row>
    <row r="114" spans="1:6" x14ac:dyDescent="0.3">
      <c r="A114" s="8" t="s">
        <v>26</v>
      </c>
      <c r="B114" s="4" cm="1">
        <f t="array" ref="B114:B115">'[1]Tetete-0003'!B128:B129</f>
        <v>8938</v>
      </c>
      <c r="C114" s="4" cm="1">
        <f t="array" ref="C114:C115">'[1]Tetete-0003'!C128:C129</f>
        <v>0.64</v>
      </c>
      <c r="D114" s="3" t="str">
        <f t="shared" si="2"/>
        <v>Play central-Libertador</v>
      </c>
      <c r="E114" s="3" t="str">
        <f t="shared" si="3"/>
        <v>Madurez Temprana</v>
      </c>
      <c r="F114" s="3" t="s">
        <v>86</v>
      </c>
    </row>
    <row r="115" spans="1:6" x14ac:dyDescent="0.3">
      <c r="A115" s="8"/>
      <c r="B115" s="4">
        <v>9041</v>
      </c>
      <c r="C115" s="4">
        <v>0.75</v>
      </c>
      <c r="D115" s="3" t="str">
        <f t="shared" si="2"/>
        <v>Play central-Libertador</v>
      </c>
      <c r="E115" s="3" t="str">
        <f t="shared" si="3"/>
        <v>Maduro</v>
      </c>
      <c r="F115" s="3" t="s">
        <v>84</v>
      </c>
    </row>
    <row r="116" spans="1:6" x14ac:dyDescent="0.3">
      <c r="A116" s="8" t="s">
        <v>27</v>
      </c>
      <c r="B116" s="4">
        <f>'[1]Tetete-0001'!B128</f>
        <v>8915</v>
      </c>
      <c r="C116" s="4">
        <f>'[1]Tetete-0001'!C128</f>
        <v>0.62318181818181828</v>
      </c>
      <c r="D116" s="3" t="str">
        <f t="shared" si="2"/>
        <v>Play central-Libertador</v>
      </c>
      <c r="E116" s="3" t="str">
        <f t="shared" si="3"/>
        <v>Madurez Temprana</v>
      </c>
      <c r="F116" s="3" t="s">
        <v>84</v>
      </c>
    </row>
    <row r="117" spans="1:6" x14ac:dyDescent="0.3">
      <c r="A117" s="8"/>
      <c r="B117" s="4">
        <f>'[1]Tetete-0001'!B130</f>
        <v>9024</v>
      </c>
      <c r="C117" s="4">
        <f>'[1]Tetete-0001'!C130</f>
        <v>0.755</v>
      </c>
      <c r="D117" s="3" t="str">
        <f t="shared" si="2"/>
        <v>Play central-Libertador</v>
      </c>
      <c r="E117" s="3" t="str">
        <f t="shared" si="3"/>
        <v>Maduro</v>
      </c>
      <c r="F117" s="3" t="s">
        <v>84</v>
      </c>
    </row>
    <row r="118" spans="1:6" x14ac:dyDescent="0.3">
      <c r="A118" s="8"/>
      <c r="B118" s="4">
        <f>'[1]Tetete-0001'!B135</f>
        <v>9046</v>
      </c>
      <c r="C118" s="4">
        <f>'[1]Tetete-0001'!C135</f>
        <v>0.78</v>
      </c>
      <c r="D118" s="3" t="str">
        <f t="shared" si="2"/>
        <v>Play central-Libertador</v>
      </c>
      <c r="E118" s="3" t="str">
        <f t="shared" si="3"/>
        <v>Maduro</v>
      </c>
      <c r="F118" s="3" t="s">
        <v>87</v>
      </c>
    </row>
    <row r="119" spans="1:6" x14ac:dyDescent="0.3">
      <c r="A119" s="8" t="s">
        <v>28</v>
      </c>
      <c r="B119" s="4">
        <f>'[1]Ocano-0001'!B128</f>
        <v>8760</v>
      </c>
      <c r="C119" s="4">
        <f>'[1]Ocano-0001'!C128</f>
        <v>0.53</v>
      </c>
      <c r="D119" s="3" t="str">
        <f t="shared" si="2"/>
        <v>Play central-Libertador</v>
      </c>
      <c r="E119" s="3" t="str">
        <f t="shared" si="3"/>
        <v>Inmaduro</v>
      </c>
      <c r="F119" s="3" t="s">
        <v>84</v>
      </c>
    </row>
    <row r="120" spans="1:6" x14ac:dyDescent="0.3">
      <c r="A120" s="8"/>
      <c r="B120" s="4" cm="1">
        <f t="array" ref="B120:B121">'[1]Ocano-0001'!B130:B131</f>
        <v>8797</v>
      </c>
      <c r="C120" s="4">
        <v>0.56999999999999995</v>
      </c>
      <c r="D120" s="3" t="str">
        <f t="shared" si="2"/>
        <v>Play central-Libertador</v>
      </c>
      <c r="E120" s="3" t="str">
        <f t="shared" si="3"/>
        <v>Madurez Temprana</v>
      </c>
      <c r="F120" s="3" t="s">
        <v>84</v>
      </c>
    </row>
    <row r="121" spans="1:6" x14ac:dyDescent="0.3">
      <c r="A121" s="8"/>
      <c r="B121" s="4">
        <v>8798</v>
      </c>
      <c r="C121" s="4">
        <v>0.56999999999999995</v>
      </c>
      <c r="D121" s="3" t="str">
        <f t="shared" si="2"/>
        <v>Play central-Libertador</v>
      </c>
      <c r="E121" s="3" t="str">
        <f t="shared" si="3"/>
        <v>Madurez Temprana</v>
      </c>
      <c r="F121" s="3" t="s">
        <v>84</v>
      </c>
    </row>
    <row r="122" spans="1:6" x14ac:dyDescent="0.3">
      <c r="A122" s="8"/>
      <c r="B122" s="4">
        <f>'[1]Ocano-0001'!B134</f>
        <v>8860</v>
      </c>
      <c r="C122" s="4">
        <f>'[1]Ocano-0001'!C134</f>
        <v>0.61499999999999999</v>
      </c>
      <c r="D122" s="3" t="str">
        <f t="shared" si="2"/>
        <v>Play central-Libertador</v>
      </c>
      <c r="E122" s="3" t="str">
        <f t="shared" si="3"/>
        <v>Madurez Temprana</v>
      </c>
      <c r="F122" s="3" t="s">
        <v>84</v>
      </c>
    </row>
    <row r="123" spans="1:6" x14ac:dyDescent="0.3">
      <c r="A123" s="8"/>
      <c r="B123" s="4">
        <f>'[1]Ocano-0001'!B138</f>
        <v>8990</v>
      </c>
      <c r="C123" s="4">
        <f>'[1]Ocano-0001'!C138</f>
        <v>0.67999999999999994</v>
      </c>
      <c r="D123" s="3" t="str">
        <f t="shared" si="2"/>
        <v>Play central-Libertador</v>
      </c>
      <c r="E123" s="3" t="str">
        <f t="shared" si="3"/>
        <v>Madurez Temprana</v>
      </c>
      <c r="F123" s="3" t="s">
        <v>92</v>
      </c>
    </row>
    <row r="124" spans="1:6" x14ac:dyDescent="0.3">
      <c r="A124" s="7" t="s">
        <v>29</v>
      </c>
      <c r="B124" s="4">
        <f>'[1]Pacayacu-0005'!B126</f>
        <v>9246</v>
      </c>
      <c r="C124" s="4">
        <f>'[1]Pacayacu-0005'!C126</f>
        <v>1.0900000000000001</v>
      </c>
      <c r="D124" s="3" t="str">
        <f t="shared" si="2"/>
        <v>Play central-Libertador</v>
      </c>
      <c r="E124" s="3" t="str">
        <f t="shared" si="3"/>
        <v>Sobremaduro</v>
      </c>
      <c r="F124" s="3" t="s">
        <v>87</v>
      </c>
    </row>
    <row r="125" spans="1:6" x14ac:dyDescent="0.3">
      <c r="A125" s="7" t="s">
        <v>81</v>
      </c>
      <c r="B125" s="4">
        <f>'[1]Shushuqui-0001'!B128</f>
        <v>9036</v>
      </c>
      <c r="C125" s="4">
        <f>'[1]Shushuqui-0001'!C128</f>
        <v>0.86</v>
      </c>
      <c r="D125" s="3" t="str">
        <f t="shared" si="2"/>
        <v>Play central-Libertador</v>
      </c>
      <c r="E125" s="3" t="str">
        <f t="shared" si="3"/>
        <v>Maduro</v>
      </c>
      <c r="F125" s="3" t="s">
        <v>84</v>
      </c>
    </row>
    <row r="126" spans="1:6" x14ac:dyDescent="0.3">
      <c r="A126" s="7" t="s">
        <v>30</v>
      </c>
      <c r="B126" s="4">
        <f>'[1]Shuara-0004'!B129</f>
        <v>8992</v>
      </c>
      <c r="C126" s="4">
        <f>'[1]Shuara-0004'!C129</f>
        <v>0.67999999999999994</v>
      </c>
      <c r="D126" s="3" t="str">
        <f t="shared" si="2"/>
        <v>Play central-Libertador</v>
      </c>
      <c r="E126" s="3" t="str">
        <f t="shared" si="3"/>
        <v>Madurez Temprana</v>
      </c>
      <c r="F126" s="3" t="s">
        <v>84</v>
      </c>
    </row>
    <row r="127" spans="1:6" x14ac:dyDescent="0.3">
      <c r="A127" s="7" t="s">
        <v>31</v>
      </c>
      <c r="B127" s="4">
        <f>'[1]Secoya Oeste-0001'!B129</f>
        <v>9010</v>
      </c>
      <c r="C127" s="4">
        <f>'[1]Secoya Oeste-0001'!C129</f>
        <v>0.74</v>
      </c>
      <c r="D127" s="3" t="str">
        <f t="shared" si="2"/>
        <v>Play central-Libertador</v>
      </c>
      <c r="E127" s="3" t="str">
        <f t="shared" si="3"/>
        <v>Maduro</v>
      </c>
      <c r="F127" s="3" t="s">
        <v>91</v>
      </c>
    </row>
    <row r="128" spans="1:6" x14ac:dyDescent="0.3">
      <c r="A128" s="8" t="s">
        <v>32</v>
      </c>
      <c r="B128" s="4" cm="1">
        <f t="array" ref="B128:B136">'[1]Secoya-0027'!B128:B136</f>
        <v>9080</v>
      </c>
      <c r="C128" s="4">
        <v>0.69</v>
      </c>
      <c r="D128" s="3" t="str">
        <f t="shared" ref="D128:D191" si="4">IF(B128&lt;4900, "Play subandino-Bermejo", IF(B128&lt;=6000, "Play oriental ITT", "Play central-Libertador"))</f>
        <v>Play central-Libertador</v>
      </c>
      <c r="E128" s="3" t="str">
        <f t="shared" si="3"/>
        <v>Madurez Temprana</v>
      </c>
      <c r="F128" s="3" t="s">
        <v>87</v>
      </c>
    </row>
    <row r="129" spans="1:6" x14ac:dyDescent="0.3">
      <c r="A129" s="8"/>
      <c r="B129" s="4">
        <v>9085</v>
      </c>
      <c r="C129" s="4">
        <v>0.69</v>
      </c>
      <c r="D129" s="3" t="str">
        <f t="shared" si="4"/>
        <v>Play central-Libertador</v>
      </c>
      <c r="E129" s="3" t="str">
        <f t="shared" ref="E129:E192" si="5">IF(C129&lt;0.55, "Inmaduro", IF(C129&lt;0.7, "Madurez Temprana",IF(C129&lt;=1,"Maduro","Sobremaduro")))</f>
        <v>Madurez Temprana</v>
      </c>
      <c r="F129" s="3" t="s">
        <v>87</v>
      </c>
    </row>
    <row r="130" spans="1:6" x14ac:dyDescent="0.3">
      <c r="A130" s="8"/>
      <c r="B130" s="4">
        <v>9097</v>
      </c>
      <c r="C130" s="4">
        <v>0.69</v>
      </c>
      <c r="D130" s="3" t="str">
        <f t="shared" si="4"/>
        <v>Play central-Libertador</v>
      </c>
      <c r="E130" s="3" t="str">
        <f t="shared" si="5"/>
        <v>Madurez Temprana</v>
      </c>
      <c r="F130" s="3" t="s">
        <v>87</v>
      </c>
    </row>
    <row r="131" spans="1:6" x14ac:dyDescent="0.3">
      <c r="A131" s="8"/>
      <c r="B131" s="4">
        <v>9100</v>
      </c>
      <c r="C131" s="4">
        <v>0.69</v>
      </c>
      <c r="D131" s="3" t="str">
        <f t="shared" si="4"/>
        <v>Play central-Libertador</v>
      </c>
      <c r="E131" s="3" t="str">
        <f t="shared" si="5"/>
        <v>Madurez Temprana</v>
      </c>
      <c r="F131" s="3" t="s">
        <v>87</v>
      </c>
    </row>
    <row r="132" spans="1:6" x14ac:dyDescent="0.3">
      <c r="A132" s="8"/>
      <c r="B132" s="4">
        <v>9104</v>
      </c>
      <c r="C132" s="4">
        <v>0.69</v>
      </c>
      <c r="D132" s="3" t="str">
        <f t="shared" si="4"/>
        <v>Play central-Libertador</v>
      </c>
      <c r="E132" s="3" t="str">
        <f t="shared" si="5"/>
        <v>Madurez Temprana</v>
      </c>
      <c r="F132" s="3" t="s">
        <v>87</v>
      </c>
    </row>
    <row r="133" spans="1:6" x14ac:dyDescent="0.3">
      <c r="A133" s="8"/>
      <c r="B133" s="4">
        <v>9105</v>
      </c>
      <c r="C133" s="4">
        <v>0.69</v>
      </c>
      <c r="D133" s="3" t="str">
        <f t="shared" si="4"/>
        <v>Play central-Libertador</v>
      </c>
      <c r="E133" s="3" t="str">
        <f t="shared" si="5"/>
        <v>Madurez Temprana</v>
      </c>
      <c r="F133" s="3" t="s">
        <v>87</v>
      </c>
    </row>
    <row r="134" spans="1:6" x14ac:dyDescent="0.3">
      <c r="A134" s="8"/>
      <c r="B134" s="4">
        <v>9107</v>
      </c>
      <c r="C134" s="4">
        <v>0.69</v>
      </c>
      <c r="D134" s="3" t="str">
        <f t="shared" si="4"/>
        <v>Play central-Libertador</v>
      </c>
      <c r="E134" s="3" t="str">
        <f t="shared" si="5"/>
        <v>Madurez Temprana</v>
      </c>
      <c r="F134" s="3" t="s">
        <v>87</v>
      </c>
    </row>
    <row r="135" spans="1:6" x14ac:dyDescent="0.3">
      <c r="A135" s="8"/>
      <c r="B135" s="4">
        <v>9108</v>
      </c>
      <c r="C135" s="4">
        <v>0.69</v>
      </c>
      <c r="D135" s="3" t="str">
        <f t="shared" si="4"/>
        <v>Play central-Libertador</v>
      </c>
      <c r="E135" s="3" t="str">
        <f t="shared" si="5"/>
        <v>Madurez Temprana</v>
      </c>
      <c r="F135" s="3" t="s">
        <v>87</v>
      </c>
    </row>
    <row r="136" spans="1:6" x14ac:dyDescent="0.3">
      <c r="A136" s="8"/>
      <c r="B136" s="4">
        <v>9109</v>
      </c>
      <c r="C136" s="4">
        <v>0.69</v>
      </c>
      <c r="D136" s="3" t="str">
        <f t="shared" si="4"/>
        <v>Play central-Libertador</v>
      </c>
      <c r="E136" s="3" t="str">
        <f t="shared" si="5"/>
        <v>Madurez Temprana</v>
      </c>
      <c r="F136" s="3" t="s">
        <v>87</v>
      </c>
    </row>
    <row r="137" spans="1:6" x14ac:dyDescent="0.3">
      <c r="A137" s="8" t="s">
        <v>33</v>
      </c>
      <c r="B137" s="4" cm="1">
        <f t="array" ref="B137:B139">'[1]Secoya-0024'!B128:B130</f>
        <v>8500</v>
      </c>
      <c r="C137" s="4" cm="1">
        <f t="array" ref="C137:C139">'[1]Secoya-0024'!C128:C130</f>
        <v>0.5575</v>
      </c>
      <c r="D137" s="3" t="str">
        <f t="shared" si="4"/>
        <v>Play central-Libertador</v>
      </c>
      <c r="E137" s="3" t="str">
        <f t="shared" si="5"/>
        <v>Madurez Temprana</v>
      </c>
      <c r="F137" s="3" t="s">
        <v>90</v>
      </c>
    </row>
    <row r="138" spans="1:6" x14ac:dyDescent="0.3">
      <c r="A138" s="8"/>
      <c r="B138" s="4">
        <v>8700</v>
      </c>
      <c r="C138" s="4">
        <v>0.64</v>
      </c>
      <c r="D138" s="3" t="str">
        <f t="shared" si="4"/>
        <v>Play central-Libertador</v>
      </c>
      <c r="E138" s="3" t="str">
        <f t="shared" si="5"/>
        <v>Madurez Temprana</v>
      </c>
      <c r="F138" s="3" t="s">
        <v>90</v>
      </c>
    </row>
    <row r="139" spans="1:6" x14ac:dyDescent="0.3">
      <c r="A139" s="8"/>
      <c r="B139" s="4">
        <v>8900</v>
      </c>
      <c r="C139" s="4">
        <v>0.75</v>
      </c>
      <c r="D139" s="3" t="str">
        <f t="shared" si="4"/>
        <v>Play central-Libertador</v>
      </c>
      <c r="E139" s="3" t="str">
        <f t="shared" si="5"/>
        <v>Maduro</v>
      </c>
      <c r="F139" s="3" t="s">
        <v>90</v>
      </c>
    </row>
    <row r="140" spans="1:6" x14ac:dyDescent="0.3">
      <c r="A140" s="8"/>
      <c r="B140" s="4">
        <f>'[1]Secoya-0024'!B132</f>
        <v>9100</v>
      </c>
      <c r="C140" s="4">
        <f>'[1]Secoya-0024'!C132</f>
        <v>0.86250000000000004</v>
      </c>
      <c r="D140" s="3" t="str">
        <f t="shared" si="4"/>
        <v>Play central-Libertador</v>
      </c>
      <c r="E140" s="3" t="str">
        <f t="shared" si="5"/>
        <v>Maduro</v>
      </c>
      <c r="F140" s="3" t="s">
        <v>84</v>
      </c>
    </row>
    <row r="141" spans="1:6" x14ac:dyDescent="0.3">
      <c r="A141" s="8"/>
      <c r="B141" s="4">
        <f>'[1]Secoya-0024'!B134</f>
        <v>9500</v>
      </c>
      <c r="C141" s="4">
        <f>'[1]Secoya-0024'!C134</f>
        <v>1.0874999999999999</v>
      </c>
      <c r="D141" s="3" t="str">
        <f t="shared" si="4"/>
        <v>Play central-Libertador</v>
      </c>
      <c r="E141" s="3" t="str">
        <f t="shared" si="5"/>
        <v>Sobremaduro</v>
      </c>
      <c r="F141" s="3" t="s">
        <v>90</v>
      </c>
    </row>
    <row r="142" spans="1:6" x14ac:dyDescent="0.3">
      <c r="A142" s="7" t="s">
        <v>34</v>
      </c>
      <c r="B142" s="4">
        <f>'[1]Aguarico-0010'!B128</f>
        <v>9412</v>
      </c>
      <c r="C142" s="4">
        <f>'[1]Aguarico-0010'!C128</f>
        <v>0.54666666666666675</v>
      </c>
      <c r="D142" s="3" t="str">
        <f t="shared" si="4"/>
        <v>Play central-Libertador</v>
      </c>
      <c r="E142" s="3" t="str">
        <f t="shared" si="5"/>
        <v>Inmaduro</v>
      </c>
      <c r="F142" s="3" t="s">
        <v>92</v>
      </c>
    </row>
    <row r="143" spans="1:6" x14ac:dyDescent="0.3">
      <c r="A143" s="8" t="s">
        <v>35</v>
      </c>
      <c r="B143" s="4" cm="1">
        <f t="array" ref="B143:B149">'[1]Shushufindi-0070'!B128:B134</f>
        <v>9146</v>
      </c>
      <c r="C143" s="4">
        <v>0.52</v>
      </c>
      <c r="D143" s="3" t="str">
        <f t="shared" si="4"/>
        <v>Play central-Libertador</v>
      </c>
      <c r="E143" s="3" t="str">
        <f t="shared" si="5"/>
        <v>Inmaduro</v>
      </c>
      <c r="F143" s="3" t="s">
        <v>84</v>
      </c>
    </row>
    <row r="144" spans="1:6" x14ac:dyDescent="0.3">
      <c r="A144" s="8"/>
      <c r="B144" s="4">
        <v>9158</v>
      </c>
      <c r="C144" s="4">
        <v>0.52</v>
      </c>
      <c r="D144" s="3" t="str">
        <f t="shared" si="4"/>
        <v>Play central-Libertador</v>
      </c>
      <c r="E144" s="3" t="str">
        <f t="shared" si="5"/>
        <v>Inmaduro</v>
      </c>
      <c r="F144" s="3" t="s">
        <v>84</v>
      </c>
    </row>
    <row r="145" spans="1:6" x14ac:dyDescent="0.3">
      <c r="A145" s="8"/>
      <c r="B145" s="4">
        <v>9160</v>
      </c>
      <c r="C145" s="4">
        <v>0.52</v>
      </c>
      <c r="D145" s="3" t="str">
        <f t="shared" si="4"/>
        <v>Play central-Libertador</v>
      </c>
      <c r="E145" s="3" t="str">
        <f t="shared" si="5"/>
        <v>Inmaduro</v>
      </c>
      <c r="F145" s="3" t="s">
        <v>84</v>
      </c>
    </row>
    <row r="146" spans="1:6" x14ac:dyDescent="0.3">
      <c r="A146" s="8"/>
      <c r="B146" s="4">
        <v>9163</v>
      </c>
      <c r="C146" s="4">
        <v>0.52</v>
      </c>
      <c r="D146" s="3" t="str">
        <f t="shared" si="4"/>
        <v>Play central-Libertador</v>
      </c>
      <c r="E146" s="3" t="str">
        <f t="shared" si="5"/>
        <v>Inmaduro</v>
      </c>
      <c r="F146" s="3" t="s">
        <v>84</v>
      </c>
    </row>
    <row r="147" spans="1:6" x14ac:dyDescent="0.3">
      <c r="A147" s="8"/>
      <c r="B147" s="4">
        <v>9168.5</v>
      </c>
      <c r="C147" s="4">
        <v>0.52</v>
      </c>
      <c r="D147" s="3" t="str">
        <f t="shared" si="4"/>
        <v>Play central-Libertador</v>
      </c>
      <c r="E147" s="3" t="str">
        <f t="shared" si="5"/>
        <v>Inmaduro</v>
      </c>
      <c r="F147" s="3" t="s">
        <v>84</v>
      </c>
    </row>
    <row r="148" spans="1:6" x14ac:dyDescent="0.3">
      <c r="A148" s="8"/>
      <c r="B148" s="4">
        <v>9171.5</v>
      </c>
      <c r="C148" s="4">
        <v>0.52</v>
      </c>
      <c r="D148" s="3" t="str">
        <f t="shared" si="4"/>
        <v>Play central-Libertador</v>
      </c>
      <c r="E148" s="3" t="str">
        <f t="shared" si="5"/>
        <v>Inmaduro</v>
      </c>
      <c r="F148" s="3" t="s">
        <v>84</v>
      </c>
    </row>
    <row r="149" spans="1:6" x14ac:dyDescent="0.3">
      <c r="A149" s="8"/>
      <c r="B149" s="4">
        <v>9174</v>
      </c>
      <c r="C149" s="4">
        <v>0.52</v>
      </c>
      <c r="D149" s="3" t="str">
        <f t="shared" si="4"/>
        <v>Play central-Libertador</v>
      </c>
      <c r="E149" s="3" t="str">
        <f t="shared" si="5"/>
        <v>Inmaduro</v>
      </c>
      <c r="F149" s="3" t="s">
        <v>84</v>
      </c>
    </row>
    <row r="150" spans="1:6" x14ac:dyDescent="0.3">
      <c r="A150" s="8" t="s">
        <v>36</v>
      </c>
      <c r="B150" s="4">
        <f>'[1]Shushufindi-0086'!B129</f>
        <v>9125</v>
      </c>
      <c r="C150" s="4">
        <f>'[1]Shushufindi-0086'!C129</f>
        <v>0.45999999999999996</v>
      </c>
      <c r="D150" s="3" t="str">
        <f t="shared" si="4"/>
        <v>Play central-Libertador</v>
      </c>
      <c r="E150" s="3" t="str">
        <f t="shared" si="5"/>
        <v>Inmaduro</v>
      </c>
      <c r="F150" s="3" t="s">
        <v>92</v>
      </c>
    </row>
    <row r="151" spans="1:6" x14ac:dyDescent="0.3">
      <c r="A151" s="8"/>
      <c r="B151" s="4">
        <f>'[1]Shushufindi-0086'!B133</f>
        <v>9293</v>
      </c>
      <c r="C151" s="4">
        <f>'[1]Shushufindi-0086'!C133</f>
        <v>0.56999999999999995</v>
      </c>
      <c r="D151" s="3" t="str">
        <f t="shared" si="4"/>
        <v>Play central-Libertador</v>
      </c>
      <c r="E151" s="3" t="str">
        <f t="shared" si="5"/>
        <v>Madurez Temprana</v>
      </c>
      <c r="F151" s="3" t="s">
        <v>92</v>
      </c>
    </row>
    <row r="152" spans="1:6" x14ac:dyDescent="0.3">
      <c r="A152" s="7" t="s">
        <v>37</v>
      </c>
      <c r="B152" s="4">
        <f>'[1]Shushufindi-H0015B'!B128</f>
        <v>9120</v>
      </c>
      <c r="C152" s="4">
        <f>'[1]Shushufindi-H0015B'!C128</f>
        <v>0.46</v>
      </c>
      <c r="D152" s="3" t="str">
        <f t="shared" si="4"/>
        <v>Play central-Libertador</v>
      </c>
      <c r="E152" s="3" t="str">
        <f t="shared" si="5"/>
        <v>Inmaduro</v>
      </c>
      <c r="F152" s="3" t="s">
        <v>93</v>
      </c>
    </row>
    <row r="153" spans="1:6" x14ac:dyDescent="0.3">
      <c r="A153" s="8" t="s">
        <v>38</v>
      </c>
      <c r="B153" s="4">
        <f>'[1]Limoncocha-0009'!B128</f>
        <v>8400</v>
      </c>
      <c r="C153" s="4">
        <f>'[1]Limoncocha-0009'!C128</f>
        <v>0.33799999999999997</v>
      </c>
      <c r="D153" s="3" t="str">
        <f t="shared" si="4"/>
        <v>Play central-Libertador</v>
      </c>
      <c r="E153" s="3" t="str">
        <f t="shared" si="5"/>
        <v>Inmaduro</v>
      </c>
      <c r="F153" s="3" t="s">
        <v>91</v>
      </c>
    </row>
    <row r="154" spans="1:6" x14ac:dyDescent="0.3">
      <c r="A154" s="8"/>
      <c r="B154" s="4" cm="1">
        <f t="array" ref="B154:B155">'[1]Limoncocha-0009'!B130:B131</f>
        <v>9400</v>
      </c>
      <c r="C154" s="4" cm="1">
        <f t="array" ref="C154:C155">'[1]Limoncocha-0009'!C130:C131</f>
        <v>0.57080000000000009</v>
      </c>
      <c r="D154" s="3" t="str">
        <f t="shared" si="4"/>
        <v>Play central-Libertador</v>
      </c>
      <c r="E154" s="3" t="str">
        <f t="shared" si="5"/>
        <v>Madurez Temprana</v>
      </c>
      <c r="F154" s="3" t="s">
        <v>88</v>
      </c>
    </row>
    <row r="155" spans="1:6" x14ac:dyDescent="0.3">
      <c r="A155" s="8"/>
      <c r="B155" s="4">
        <v>9462</v>
      </c>
      <c r="C155" s="4">
        <v>0.59250000000000003</v>
      </c>
      <c r="D155" s="3" t="str">
        <f t="shared" si="4"/>
        <v>Play central-Libertador</v>
      </c>
      <c r="E155" s="3" t="str">
        <f t="shared" si="5"/>
        <v>Madurez Temprana</v>
      </c>
      <c r="F155" s="3" t="s">
        <v>88</v>
      </c>
    </row>
    <row r="156" spans="1:6" x14ac:dyDescent="0.3">
      <c r="A156" s="5" t="s">
        <v>39</v>
      </c>
      <c r="B156" s="4">
        <f>'[1]Limoncocha-0002'!B131</f>
        <v>9677</v>
      </c>
      <c r="C156" s="4">
        <f>'[1]Limoncocha-0002'!C131</f>
        <v>0.65</v>
      </c>
      <c r="D156" s="3" t="str">
        <f t="shared" si="4"/>
        <v>Play central-Libertador</v>
      </c>
      <c r="E156" s="3" t="str">
        <f t="shared" si="5"/>
        <v>Madurez Temprana</v>
      </c>
      <c r="F156" s="3" t="s">
        <v>92</v>
      </c>
    </row>
    <row r="157" spans="1:6" x14ac:dyDescent="0.3">
      <c r="A157" s="8" t="s">
        <v>40</v>
      </c>
      <c r="B157" s="4" cm="1">
        <f t="array" ref="B157:B162">'[1]Yulebra-0005'!B128:B133</f>
        <v>9633</v>
      </c>
      <c r="C157" s="4">
        <v>0.82</v>
      </c>
      <c r="D157" s="3" t="str">
        <f t="shared" si="4"/>
        <v>Play central-Libertador</v>
      </c>
      <c r="E157" s="3" t="str">
        <f t="shared" si="5"/>
        <v>Maduro</v>
      </c>
      <c r="F157" s="3" t="s">
        <v>84</v>
      </c>
    </row>
    <row r="158" spans="1:6" x14ac:dyDescent="0.3">
      <c r="A158" s="8"/>
      <c r="B158" s="4">
        <v>9636</v>
      </c>
      <c r="C158" s="4">
        <v>0.82</v>
      </c>
      <c r="D158" s="3" t="str">
        <f t="shared" si="4"/>
        <v>Play central-Libertador</v>
      </c>
      <c r="E158" s="3" t="str">
        <f t="shared" si="5"/>
        <v>Maduro</v>
      </c>
      <c r="F158" s="3" t="s">
        <v>84</v>
      </c>
    </row>
    <row r="159" spans="1:6" x14ac:dyDescent="0.3">
      <c r="A159" s="8"/>
      <c r="B159" s="4">
        <v>9639</v>
      </c>
      <c r="C159" s="4">
        <v>0.82</v>
      </c>
      <c r="D159" s="3" t="str">
        <f t="shared" si="4"/>
        <v>Play central-Libertador</v>
      </c>
      <c r="E159" s="3" t="str">
        <f t="shared" si="5"/>
        <v>Maduro</v>
      </c>
      <c r="F159" s="3" t="s">
        <v>84</v>
      </c>
    </row>
    <row r="160" spans="1:6" x14ac:dyDescent="0.3">
      <c r="A160" s="8"/>
      <c r="B160" s="4">
        <v>9642</v>
      </c>
      <c r="C160" s="4">
        <v>0.82</v>
      </c>
      <c r="D160" s="3" t="str">
        <f t="shared" si="4"/>
        <v>Play central-Libertador</v>
      </c>
      <c r="E160" s="3" t="str">
        <f t="shared" si="5"/>
        <v>Maduro</v>
      </c>
      <c r="F160" s="3" t="s">
        <v>84</v>
      </c>
    </row>
    <row r="161" spans="1:6" x14ac:dyDescent="0.3">
      <c r="A161" s="8"/>
      <c r="B161" s="4">
        <v>9645</v>
      </c>
      <c r="C161" s="4">
        <v>0.82</v>
      </c>
      <c r="D161" s="3" t="str">
        <f t="shared" si="4"/>
        <v>Play central-Libertador</v>
      </c>
      <c r="E161" s="3" t="str">
        <f t="shared" si="5"/>
        <v>Maduro</v>
      </c>
      <c r="F161" s="3" t="s">
        <v>84</v>
      </c>
    </row>
    <row r="162" spans="1:6" x14ac:dyDescent="0.3">
      <c r="A162" s="8"/>
      <c r="B162" s="4">
        <v>9650</v>
      </c>
      <c r="C162" s="4">
        <v>0.82</v>
      </c>
      <c r="D162" s="3" t="str">
        <f t="shared" si="4"/>
        <v>Play central-Libertador</v>
      </c>
      <c r="E162" s="3" t="str">
        <f t="shared" si="5"/>
        <v>Maduro</v>
      </c>
      <c r="F162" s="3" t="s">
        <v>84</v>
      </c>
    </row>
    <row r="163" spans="1:6" x14ac:dyDescent="0.3">
      <c r="A163" s="7" t="s">
        <v>41</v>
      </c>
      <c r="B163" s="4">
        <f>'[1]Yuca-0010'!B128</f>
        <v>9720</v>
      </c>
      <c r="C163" s="4">
        <f>'[1]Yuca-0010'!C128</f>
        <v>0.83499999999999996</v>
      </c>
      <c r="D163" s="3" t="str">
        <f t="shared" si="4"/>
        <v>Play central-Libertador</v>
      </c>
      <c r="E163" s="3" t="str">
        <f t="shared" si="5"/>
        <v>Maduro</v>
      </c>
      <c r="F163" s="3" t="s">
        <v>87</v>
      </c>
    </row>
    <row r="164" spans="1:6" x14ac:dyDescent="0.3">
      <c r="A164" s="8" t="s">
        <v>42</v>
      </c>
      <c r="B164" s="4" cm="1">
        <f t="array" ref="B164:B175">'[1]Anaconda-0001'!B128:B139</f>
        <v>9606</v>
      </c>
      <c r="C164" s="4">
        <v>0.67</v>
      </c>
      <c r="D164" s="3" t="str">
        <f t="shared" si="4"/>
        <v>Play central-Libertador</v>
      </c>
      <c r="E164" s="3" t="str">
        <f t="shared" si="5"/>
        <v>Madurez Temprana</v>
      </c>
      <c r="F164" s="3" t="s">
        <v>87</v>
      </c>
    </row>
    <row r="165" spans="1:6" x14ac:dyDescent="0.3">
      <c r="A165" s="8"/>
      <c r="B165" s="4">
        <v>9608</v>
      </c>
      <c r="C165" s="4">
        <v>0.67</v>
      </c>
      <c r="D165" s="3" t="str">
        <f t="shared" si="4"/>
        <v>Play central-Libertador</v>
      </c>
      <c r="E165" s="3" t="str">
        <f t="shared" si="5"/>
        <v>Madurez Temprana</v>
      </c>
      <c r="F165" s="3" t="s">
        <v>87</v>
      </c>
    </row>
    <row r="166" spans="1:6" x14ac:dyDescent="0.3">
      <c r="A166" s="8"/>
      <c r="B166" s="4">
        <v>9611</v>
      </c>
      <c r="C166" s="4">
        <v>0.67</v>
      </c>
      <c r="D166" s="3" t="str">
        <f t="shared" si="4"/>
        <v>Play central-Libertador</v>
      </c>
      <c r="E166" s="3" t="str">
        <f t="shared" si="5"/>
        <v>Madurez Temprana</v>
      </c>
      <c r="F166" s="3" t="s">
        <v>87</v>
      </c>
    </row>
    <row r="167" spans="1:6" x14ac:dyDescent="0.3">
      <c r="A167" s="8"/>
      <c r="B167" s="4">
        <v>9614</v>
      </c>
      <c r="C167" s="4">
        <v>0.67</v>
      </c>
      <c r="D167" s="3" t="str">
        <f t="shared" si="4"/>
        <v>Play central-Libertador</v>
      </c>
      <c r="E167" s="3" t="str">
        <f t="shared" si="5"/>
        <v>Madurez Temprana</v>
      </c>
      <c r="F167" s="3" t="s">
        <v>87</v>
      </c>
    </row>
    <row r="168" spans="1:6" x14ac:dyDescent="0.3">
      <c r="A168" s="8"/>
      <c r="B168" s="4">
        <v>9616</v>
      </c>
      <c r="C168" s="4">
        <v>0.67</v>
      </c>
      <c r="D168" s="3" t="str">
        <f t="shared" si="4"/>
        <v>Play central-Libertador</v>
      </c>
      <c r="E168" s="3" t="str">
        <f t="shared" si="5"/>
        <v>Madurez Temprana</v>
      </c>
      <c r="F168" s="3" t="s">
        <v>87</v>
      </c>
    </row>
    <row r="169" spans="1:6" x14ac:dyDescent="0.3">
      <c r="A169" s="8"/>
      <c r="B169" s="4">
        <v>9620</v>
      </c>
      <c r="C169" s="4">
        <v>0.67</v>
      </c>
      <c r="D169" s="3" t="str">
        <f t="shared" si="4"/>
        <v>Play central-Libertador</v>
      </c>
      <c r="E169" s="3" t="str">
        <f t="shared" si="5"/>
        <v>Madurez Temprana</v>
      </c>
      <c r="F169" s="3" t="s">
        <v>87</v>
      </c>
    </row>
    <row r="170" spans="1:6" x14ac:dyDescent="0.3">
      <c r="A170" s="8"/>
      <c r="B170" s="4">
        <v>9621</v>
      </c>
      <c r="C170" s="4">
        <v>0.67</v>
      </c>
      <c r="D170" s="3" t="str">
        <f t="shared" si="4"/>
        <v>Play central-Libertador</v>
      </c>
      <c r="E170" s="3" t="str">
        <f t="shared" si="5"/>
        <v>Madurez Temprana</v>
      </c>
      <c r="F170" s="3" t="s">
        <v>87</v>
      </c>
    </row>
    <row r="171" spans="1:6" x14ac:dyDescent="0.3">
      <c r="A171" s="8"/>
      <c r="B171" s="4">
        <v>9625</v>
      </c>
      <c r="C171" s="4">
        <v>0.67</v>
      </c>
      <c r="D171" s="3" t="str">
        <f t="shared" si="4"/>
        <v>Play central-Libertador</v>
      </c>
      <c r="E171" s="3" t="str">
        <f t="shared" si="5"/>
        <v>Madurez Temprana</v>
      </c>
      <c r="F171" s="3" t="s">
        <v>87</v>
      </c>
    </row>
    <row r="172" spans="1:6" x14ac:dyDescent="0.3">
      <c r="A172" s="8"/>
      <c r="B172" s="4">
        <v>9626</v>
      </c>
      <c r="C172" s="4">
        <v>0.67</v>
      </c>
      <c r="D172" s="3" t="str">
        <f t="shared" si="4"/>
        <v>Play central-Libertador</v>
      </c>
      <c r="E172" s="3" t="str">
        <f t="shared" si="5"/>
        <v>Madurez Temprana</v>
      </c>
      <c r="F172" s="3" t="s">
        <v>87</v>
      </c>
    </row>
    <row r="173" spans="1:6" x14ac:dyDescent="0.3">
      <c r="A173" s="8"/>
      <c r="B173" s="4">
        <v>9628</v>
      </c>
      <c r="C173" s="4">
        <v>0.67</v>
      </c>
      <c r="D173" s="3" t="str">
        <f t="shared" si="4"/>
        <v>Play central-Libertador</v>
      </c>
      <c r="E173" s="3" t="str">
        <f t="shared" si="5"/>
        <v>Madurez Temprana</v>
      </c>
      <c r="F173" s="3" t="s">
        <v>87</v>
      </c>
    </row>
    <row r="174" spans="1:6" x14ac:dyDescent="0.3">
      <c r="A174" s="8"/>
      <c r="B174" s="4">
        <v>9632</v>
      </c>
      <c r="C174" s="4">
        <v>0.67</v>
      </c>
      <c r="D174" s="3" t="str">
        <f t="shared" si="4"/>
        <v>Play central-Libertador</v>
      </c>
      <c r="E174" s="3" t="str">
        <f t="shared" si="5"/>
        <v>Madurez Temprana</v>
      </c>
      <c r="F174" s="3" t="s">
        <v>87</v>
      </c>
    </row>
    <row r="175" spans="1:6" x14ac:dyDescent="0.3">
      <c r="A175" s="8"/>
      <c r="B175" s="4">
        <v>9635</v>
      </c>
      <c r="C175" s="4">
        <v>0.67</v>
      </c>
      <c r="D175" s="3" t="str">
        <f t="shared" si="4"/>
        <v>Play central-Libertador</v>
      </c>
      <c r="E175" s="3" t="str">
        <f t="shared" si="5"/>
        <v>Madurez Temprana</v>
      </c>
      <c r="F175" s="3" t="s">
        <v>87</v>
      </c>
    </row>
    <row r="176" spans="1:6" x14ac:dyDescent="0.3">
      <c r="A176" s="8"/>
      <c r="B176" s="4" cm="1">
        <f t="array" ref="B176:B183">'[1]Anaconda-0001'!B140:B147</f>
        <v>9819</v>
      </c>
      <c r="C176" s="4">
        <v>0.76</v>
      </c>
      <c r="D176" s="3" t="str">
        <f t="shared" si="4"/>
        <v>Play central-Libertador</v>
      </c>
      <c r="E176" s="3" t="str">
        <f t="shared" si="5"/>
        <v>Maduro</v>
      </c>
      <c r="F176" s="3" t="s">
        <v>92</v>
      </c>
    </row>
    <row r="177" spans="1:6" x14ac:dyDescent="0.3">
      <c r="A177" s="8"/>
      <c r="B177" s="4">
        <v>9821</v>
      </c>
      <c r="C177" s="4">
        <v>0.76</v>
      </c>
      <c r="D177" s="3" t="str">
        <f t="shared" si="4"/>
        <v>Play central-Libertador</v>
      </c>
      <c r="E177" s="3" t="str">
        <f t="shared" si="5"/>
        <v>Maduro</v>
      </c>
      <c r="F177" s="3" t="s">
        <v>92</v>
      </c>
    </row>
    <row r="178" spans="1:6" x14ac:dyDescent="0.3">
      <c r="A178" s="8"/>
      <c r="B178" s="4">
        <v>9824</v>
      </c>
      <c r="C178" s="4">
        <v>0.76</v>
      </c>
      <c r="D178" s="3" t="str">
        <f t="shared" si="4"/>
        <v>Play central-Libertador</v>
      </c>
      <c r="E178" s="3" t="str">
        <f t="shared" si="5"/>
        <v>Maduro</v>
      </c>
      <c r="F178" s="3" t="s">
        <v>92</v>
      </c>
    </row>
    <row r="179" spans="1:6" x14ac:dyDescent="0.3">
      <c r="A179" s="8"/>
      <c r="B179" s="4">
        <v>9825</v>
      </c>
      <c r="C179" s="4">
        <v>0.76</v>
      </c>
      <c r="D179" s="3" t="str">
        <f t="shared" si="4"/>
        <v>Play central-Libertador</v>
      </c>
      <c r="E179" s="3" t="str">
        <f t="shared" si="5"/>
        <v>Maduro</v>
      </c>
      <c r="F179" s="3" t="s">
        <v>92</v>
      </c>
    </row>
    <row r="180" spans="1:6" x14ac:dyDescent="0.3">
      <c r="A180" s="8"/>
      <c r="B180" s="4">
        <v>9829</v>
      </c>
      <c r="C180" s="4">
        <v>0.76</v>
      </c>
      <c r="D180" s="3" t="str">
        <f t="shared" si="4"/>
        <v>Play central-Libertador</v>
      </c>
      <c r="E180" s="3" t="str">
        <f t="shared" si="5"/>
        <v>Maduro</v>
      </c>
      <c r="F180" s="3" t="s">
        <v>92</v>
      </c>
    </row>
    <row r="181" spans="1:6" x14ac:dyDescent="0.3">
      <c r="A181" s="8"/>
      <c r="B181" s="4">
        <v>9838</v>
      </c>
      <c r="C181" s="4">
        <v>0.76</v>
      </c>
      <c r="D181" s="3" t="str">
        <f t="shared" si="4"/>
        <v>Play central-Libertador</v>
      </c>
      <c r="E181" s="3" t="str">
        <f t="shared" si="5"/>
        <v>Maduro</v>
      </c>
      <c r="F181" s="3" t="s">
        <v>92</v>
      </c>
    </row>
    <row r="182" spans="1:6" x14ac:dyDescent="0.3">
      <c r="A182" s="8"/>
      <c r="B182" s="4">
        <v>9843</v>
      </c>
      <c r="C182" s="4">
        <v>0.76</v>
      </c>
      <c r="D182" s="3" t="str">
        <f t="shared" si="4"/>
        <v>Play central-Libertador</v>
      </c>
      <c r="E182" s="3" t="str">
        <f t="shared" si="5"/>
        <v>Maduro</v>
      </c>
      <c r="F182" s="3" t="s">
        <v>92</v>
      </c>
    </row>
    <row r="183" spans="1:6" x14ac:dyDescent="0.3">
      <c r="A183" s="8"/>
      <c r="B183" s="4">
        <v>9846</v>
      </c>
      <c r="C183" s="4">
        <v>0.76</v>
      </c>
      <c r="D183" s="3" t="str">
        <f t="shared" si="4"/>
        <v>Play central-Libertador</v>
      </c>
      <c r="E183" s="3" t="str">
        <f t="shared" si="5"/>
        <v>Maduro</v>
      </c>
      <c r="F183" s="3" t="s">
        <v>92</v>
      </c>
    </row>
    <row r="184" spans="1:6" x14ac:dyDescent="0.3">
      <c r="A184" s="8" t="s">
        <v>43</v>
      </c>
      <c r="B184" s="4" cm="1">
        <f t="array" ref="B184:B188">'[1]Palanda-0001'!B128:B132</f>
        <v>9848</v>
      </c>
      <c r="C184" s="4">
        <v>0.68</v>
      </c>
      <c r="D184" s="3" t="str">
        <f t="shared" si="4"/>
        <v>Play central-Libertador</v>
      </c>
      <c r="E184" s="3" t="str">
        <f t="shared" si="5"/>
        <v>Madurez Temprana</v>
      </c>
      <c r="F184" s="3" t="s">
        <v>84</v>
      </c>
    </row>
    <row r="185" spans="1:6" x14ac:dyDescent="0.3">
      <c r="A185" s="8"/>
      <c r="B185" s="4">
        <v>9852</v>
      </c>
      <c r="C185" s="4">
        <v>0.68</v>
      </c>
      <c r="D185" s="3" t="str">
        <f t="shared" si="4"/>
        <v>Play central-Libertador</v>
      </c>
      <c r="E185" s="3" t="str">
        <f t="shared" si="5"/>
        <v>Madurez Temprana</v>
      </c>
      <c r="F185" s="3" t="s">
        <v>84</v>
      </c>
    </row>
    <row r="186" spans="1:6" x14ac:dyDescent="0.3">
      <c r="A186" s="8"/>
      <c r="B186" s="4">
        <v>9856</v>
      </c>
      <c r="C186" s="4">
        <v>0.68</v>
      </c>
      <c r="D186" s="3" t="str">
        <f t="shared" si="4"/>
        <v>Play central-Libertador</v>
      </c>
      <c r="E186" s="3" t="str">
        <f t="shared" si="5"/>
        <v>Madurez Temprana</v>
      </c>
      <c r="F186" s="3" t="s">
        <v>84</v>
      </c>
    </row>
    <row r="187" spans="1:6" x14ac:dyDescent="0.3">
      <c r="A187" s="8"/>
      <c r="B187" s="4">
        <v>9864</v>
      </c>
      <c r="C187" s="4">
        <v>0.68</v>
      </c>
      <c r="D187" s="3" t="str">
        <f t="shared" si="4"/>
        <v>Play central-Libertador</v>
      </c>
      <c r="E187" s="3" t="str">
        <f t="shared" si="5"/>
        <v>Madurez Temprana</v>
      </c>
      <c r="F187" s="3" t="s">
        <v>84</v>
      </c>
    </row>
    <row r="188" spans="1:6" x14ac:dyDescent="0.3">
      <c r="A188" s="8"/>
      <c r="B188" s="4">
        <v>9868</v>
      </c>
      <c r="C188" s="4">
        <v>0.68</v>
      </c>
      <c r="D188" s="3" t="str">
        <f t="shared" si="4"/>
        <v>Play central-Libertador</v>
      </c>
      <c r="E188" s="3" t="str">
        <f t="shared" si="5"/>
        <v>Madurez Temprana</v>
      </c>
      <c r="F188" s="3" t="s">
        <v>84</v>
      </c>
    </row>
    <row r="189" spans="1:6" x14ac:dyDescent="0.3">
      <c r="A189" s="8"/>
      <c r="B189" s="4" cm="1">
        <f t="array" ref="B189:B196">'[1]Palanda-0001'!B133:B140</f>
        <v>10013</v>
      </c>
      <c r="C189" s="4">
        <v>0.79</v>
      </c>
      <c r="D189" s="3" t="str">
        <f t="shared" si="4"/>
        <v>Play central-Libertador</v>
      </c>
      <c r="E189" s="3" t="str">
        <f t="shared" si="5"/>
        <v>Maduro</v>
      </c>
      <c r="F189" s="3" t="s">
        <v>88</v>
      </c>
    </row>
    <row r="190" spans="1:6" x14ac:dyDescent="0.3">
      <c r="A190" s="8"/>
      <c r="B190" s="4">
        <v>10087</v>
      </c>
      <c r="C190" s="4">
        <v>0.79</v>
      </c>
      <c r="D190" s="3" t="str">
        <f t="shared" si="4"/>
        <v>Play central-Libertador</v>
      </c>
      <c r="E190" s="3" t="str">
        <f t="shared" si="5"/>
        <v>Maduro</v>
      </c>
      <c r="F190" s="3" t="s">
        <v>92</v>
      </c>
    </row>
    <row r="191" spans="1:6" x14ac:dyDescent="0.3">
      <c r="A191" s="8"/>
      <c r="B191" s="4">
        <v>10093</v>
      </c>
      <c r="C191" s="4">
        <v>0.79</v>
      </c>
      <c r="D191" s="3" t="str">
        <f t="shared" si="4"/>
        <v>Play central-Libertador</v>
      </c>
      <c r="E191" s="3" t="str">
        <f t="shared" si="5"/>
        <v>Maduro</v>
      </c>
      <c r="F191" s="3" t="s">
        <v>92</v>
      </c>
    </row>
    <row r="192" spans="1:6" x14ac:dyDescent="0.3">
      <c r="A192" s="8"/>
      <c r="B192" s="4">
        <v>10097</v>
      </c>
      <c r="C192" s="4">
        <v>0.79</v>
      </c>
      <c r="D192" s="3" t="str">
        <f t="shared" ref="D192:D255" si="6">IF(B192&lt;4900, "Play subandino-Bermejo", IF(B192&lt;=6000, "Play oriental ITT", "Play central-Libertador"))</f>
        <v>Play central-Libertador</v>
      </c>
      <c r="E192" s="3" t="str">
        <f t="shared" si="5"/>
        <v>Maduro</v>
      </c>
      <c r="F192" s="3" t="s">
        <v>92</v>
      </c>
    </row>
    <row r="193" spans="1:6" x14ac:dyDescent="0.3">
      <c r="A193" s="8"/>
      <c r="B193" s="4">
        <v>10106</v>
      </c>
      <c r="C193" s="4">
        <v>0.79</v>
      </c>
      <c r="D193" s="3" t="str">
        <f t="shared" si="6"/>
        <v>Play central-Libertador</v>
      </c>
      <c r="E193" s="3" t="str">
        <f t="shared" ref="E193:E256" si="7">IF(C193&lt;0.55, "Inmaduro", IF(C193&lt;0.7, "Madurez Temprana",IF(C193&lt;=1,"Maduro","Sobremaduro")))</f>
        <v>Maduro</v>
      </c>
      <c r="F193" s="3" t="s">
        <v>92</v>
      </c>
    </row>
    <row r="194" spans="1:6" x14ac:dyDescent="0.3">
      <c r="A194" s="8"/>
      <c r="B194" s="4">
        <v>10108</v>
      </c>
      <c r="C194" s="4">
        <v>0.79</v>
      </c>
      <c r="D194" s="3" t="str">
        <f t="shared" si="6"/>
        <v>Play central-Libertador</v>
      </c>
      <c r="E194" s="3" t="str">
        <f t="shared" si="7"/>
        <v>Maduro</v>
      </c>
      <c r="F194" s="3" t="s">
        <v>92</v>
      </c>
    </row>
    <row r="195" spans="1:6" x14ac:dyDescent="0.3">
      <c r="A195" s="8"/>
      <c r="B195" s="4">
        <v>10111</v>
      </c>
      <c r="C195" s="4">
        <v>0.79</v>
      </c>
      <c r="D195" s="3" t="str">
        <f t="shared" si="6"/>
        <v>Play central-Libertador</v>
      </c>
      <c r="E195" s="3" t="str">
        <f t="shared" si="7"/>
        <v>Maduro</v>
      </c>
      <c r="F195" s="3" t="s">
        <v>92</v>
      </c>
    </row>
    <row r="196" spans="1:6" x14ac:dyDescent="0.3">
      <c r="A196" s="8"/>
      <c r="B196" s="4">
        <v>10114.5</v>
      </c>
      <c r="C196" s="4">
        <v>0.79</v>
      </c>
      <c r="D196" s="3" t="str">
        <f t="shared" si="6"/>
        <v>Play central-Libertador</v>
      </c>
      <c r="E196" s="3" t="str">
        <f t="shared" si="7"/>
        <v>Maduro</v>
      </c>
      <c r="F196" s="3" t="s">
        <v>92</v>
      </c>
    </row>
    <row r="197" spans="1:6" x14ac:dyDescent="0.3">
      <c r="A197" s="8" t="s">
        <v>44</v>
      </c>
      <c r="B197" s="4" cm="1">
        <f t="array" ref="B197:B200">'[1]Puma-0002'!B128:B131</f>
        <v>9782</v>
      </c>
      <c r="C197" s="4">
        <v>0.62</v>
      </c>
      <c r="D197" s="3" t="str">
        <f t="shared" si="6"/>
        <v>Play central-Libertador</v>
      </c>
      <c r="E197" s="3" t="str">
        <f t="shared" si="7"/>
        <v>Madurez Temprana</v>
      </c>
      <c r="F197" s="3" t="s">
        <v>84</v>
      </c>
    </row>
    <row r="198" spans="1:6" x14ac:dyDescent="0.3">
      <c r="A198" s="8"/>
      <c r="B198" s="4">
        <v>9785.5</v>
      </c>
      <c r="C198" s="4">
        <v>0.62</v>
      </c>
      <c r="D198" s="3" t="str">
        <f t="shared" si="6"/>
        <v>Play central-Libertador</v>
      </c>
      <c r="E198" s="3" t="str">
        <f t="shared" si="7"/>
        <v>Madurez Temprana</v>
      </c>
      <c r="F198" s="3" t="s">
        <v>84</v>
      </c>
    </row>
    <row r="199" spans="1:6" x14ac:dyDescent="0.3">
      <c r="A199" s="8"/>
      <c r="B199" s="4">
        <v>9808</v>
      </c>
      <c r="C199" s="4">
        <v>0.62</v>
      </c>
      <c r="D199" s="3" t="str">
        <f t="shared" si="6"/>
        <v>Play central-Libertador</v>
      </c>
      <c r="E199" s="3" t="str">
        <f t="shared" si="7"/>
        <v>Madurez Temprana</v>
      </c>
      <c r="F199" s="3" t="s">
        <v>84</v>
      </c>
    </row>
    <row r="200" spans="1:6" x14ac:dyDescent="0.3">
      <c r="A200" s="8"/>
      <c r="B200" s="4">
        <v>9839</v>
      </c>
      <c r="C200" s="4">
        <v>0.62</v>
      </c>
      <c r="D200" s="3" t="str">
        <f t="shared" si="6"/>
        <v>Play central-Libertador</v>
      </c>
      <c r="E200" s="3" t="str">
        <f t="shared" si="7"/>
        <v>Madurez Temprana</v>
      </c>
      <c r="F200" s="3" t="s">
        <v>87</v>
      </c>
    </row>
    <row r="201" spans="1:6" x14ac:dyDescent="0.3">
      <c r="A201" s="8"/>
      <c r="B201" s="4">
        <f>'[1]Puma-0002'!B134</f>
        <v>10087</v>
      </c>
      <c r="C201" s="4">
        <f>'[1]Puma-0002'!C134</f>
        <v>0.66</v>
      </c>
      <c r="D201" s="3" t="str">
        <f t="shared" si="6"/>
        <v>Play central-Libertador</v>
      </c>
      <c r="E201" s="3" t="str">
        <f t="shared" si="7"/>
        <v>Madurez Temprana</v>
      </c>
      <c r="F201" s="3" t="s">
        <v>92</v>
      </c>
    </row>
    <row r="202" spans="1:6" x14ac:dyDescent="0.3">
      <c r="A202" s="8" t="s">
        <v>45</v>
      </c>
      <c r="B202" s="4" cm="1">
        <f t="array" ref="B202:B204">'[1]Pindo Norte-0001'!B128:B130</f>
        <v>9150</v>
      </c>
      <c r="C202" s="4" cm="1">
        <f t="array" ref="C202:C204">'[1]Pindo Norte-0001'!C128:C130</f>
        <v>0.50131578947368416</v>
      </c>
      <c r="D202" s="3" t="str">
        <f t="shared" si="6"/>
        <v>Play central-Libertador</v>
      </c>
      <c r="E202" s="3" t="str">
        <f t="shared" si="7"/>
        <v>Inmaduro</v>
      </c>
      <c r="F202" s="3" t="s">
        <v>91</v>
      </c>
    </row>
    <row r="203" spans="1:6" x14ac:dyDescent="0.3">
      <c r="A203" s="8"/>
      <c r="B203" s="4">
        <v>9250</v>
      </c>
      <c r="C203" s="4">
        <v>0.51636363636363625</v>
      </c>
      <c r="D203" s="3" t="str">
        <f t="shared" si="6"/>
        <v>Play central-Libertador</v>
      </c>
      <c r="E203" s="3" t="str">
        <f t="shared" si="7"/>
        <v>Inmaduro</v>
      </c>
      <c r="F203" s="3" t="s">
        <v>91</v>
      </c>
    </row>
    <row r="204" spans="1:6" x14ac:dyDescent="0.3">
      <c r="A204" s="8"/>
      <c r="B204" s="4">
        <v>9450</v>
      </c>
      <c r="C204" s="4">
        <v>0.55000000000000004</v>
      </c>
      <c r="D204" s="3" t="str">
        <f t="shared" si="6"/>
        <v>Play central-Libertador</v>
      </c>
      <c r="E204" s="3" t="str">
        <f t="shared" si="7"/>
        <v>Madurez Temprana</v>
      </c>
      <c r="F204" s="3" t="s">
        <v>91</v>
      </c>
    </row>
    <row r="205" spans="1:6" x14ac:dyDescent="0.3">
      <c r="A205" s="8"/>
      <c r="B205" s="4">
        <f>'[1]Pindo Norte-0001'!B141</f>
        <v>10550</v>
      </c>
      <c r="C205" s="4">
        <f>'[1]Pindo Norte-0001'!C141</f>
        <v>0.8</v>
      </c>
      <c r="D205" s="3" t="str">
        <f t="shared" si="6"/>
        <v>Play central-Libertador</v>
      </c>
      <c r="E205" s="3" t="str">
        <f t="shared" si="7"/>
        <v>Maduro</v>
      </c>
      <c r="F205" s="3" t="s">
        <v>91</v>
      </c>
    </row>
    <row r="206" spans="1:6" x14ac:dyDescent="0.3">
      <c r="A206" s="8" t="s">
        <v>46</v>
      </c>
      <c r="B206" s="4" cm="1">
        <f t="array" ref="B206:B208">'[1]Auca-0025'!B128:B130</f>
        <v>8934</v>
      </c>
      <c r="C206" s="4">
        <v>0.47</v>
      </c>
      <c r="D206" s="3" t="str">
        <f t="shared" si="6"/>
        <v>Play central-Libertador</v>
      </c>
      <c r="E206" s="3" t="str">
        <f t="shared" si="7"/>
        <v>Inmaduro</v>
      </c>
      <c r="F206" s="3" t="s">
        <v>91</v>
      </c>
    </row>
    <row r="207" spans="1:6" x14ac:dyDescent="0.3">
      <c r="A207" s="8"/>
      <c r="B207" s="4">
        <v>8937</v>
      </c>
      <c r="C207" s="4">
        <v>0.47</v>
      </c>
      <c r="D207" s="3" t="str">
        <f t="shared" si="6"/>
        <v>Play central-Libertador</v>
      </c>
      <c r="E207" s="3" t="str">
        <f t="shared" si="7"/>
        <v>Inmaduro</v>
      </c>
      <c r="F207" s="3" t="s">
        <v>91</v>
      </c>
    </row>
    <row r="208" spans="1:6" x14ac:dyDescent="0.3">
      <c r="A208" s="8"/>
      <c r="B208" s="4">
        <v>8946</v>
      </c>
      <c r="C208" s="4">
        <v>0.47</v>
      </c>
      <c r="D208" s="3" t="str">
        <f t="shared" si="6"/>
        <v>Play central-Libertador</v>
      </c>
      <c r="E208" s="3" t="str">
        <f t="shared" si="7"/>
        <v>Inmaduro</v>
      </c>
      <c r="F208" s="3" t="s">
        <v>91</v>
      </c>
    </row>
    <row r="209" spans="1:6" x14ac:dyDescent="0.3">
      <c r="A209" s="8"/>
      <c r="B209" s="4" cm="1">
        <f t="array" ref="B209:B214">'[1]Auca-0025'!B131:B136</f>
        <v>9685</v>
      </c>
      <c r="C209" s="4">
        <v>0.61</v>
      </c>
      <c r="D209" s="3" t="str">
        <f t="shared" si="6"/>
        <v>Play central-Libertador</v>
      </c>
      <c r="E209" s="3" t="str">
        <f t="shared" si="7"/>
        <v>Madurez Temprana</v>
      </c>
      <c r="F209" s="3" t="s">
        <v>84</v>
      </c>
    </row>
    <row r="210" spans="1:6" x14ac:dyDescent="0.3">
      <c r="A210" s="8"/>
      <c r="B210" s="4">
        <v>9693</v>
      </c>
      <c r="C210" s="4">
        <v>0.61</v>
      </c>
      <c r="D210" s="3" t="str">
        <f t="shared" si="6"/>
        <v>Play central-Libertador</v>
      </c>
      <c r="E210" s="3" t="str">
        <f t="shared" si="7"/>
        <v>Madurez Temprana</v>
      </c>
      <c r="F210" s="3" t="s">
        <v>84</v>
      </c>
    </row>
    <row r="211" spans="1:6" x14ac:dyDescent="0.3">
      <c r="A211" s="8"/>
      <c r="B211" s="4">
        <v>9694</v>
      </c>
      <c r="C211" s="4">
        <v>0.61</v>
      </c>
      <c r="D211" s="3" t="str">
        <f t="shared" si="6"/>
        <v>Play central-Libertador</v>
      </c>
      <c r="E211" s="3" t="str">
        <f t="shared" si="7"/>
        <v>Madurez Temprana</v>
      </c>
      <c r="F211" s="3" t="s">
        <v>84</v>
      </c>
    </row>
    <row r="212" spans="1:6" x14ac:dyDescent="0.3">
      <c r="A212" s="8"/>
      <c r="B212" s="4">
        <v>9702</v>
      </c>
      <c r="C212" s="4">
        <v>0.61</v>
      </c>
      <c r="D212" s="3" t="str">
        <f t="shared" si="6"/>
        <v>Play central-Libertador</v>
      </c>
      <c r="E212" s="3" t="str">
        <f t="shared" si="7"/>
        <v>Madurez Temprana</v>
      </c>
      <c r="F212" s="3" t="s">
        <v>84</v>
      </c>
    </row>
    <row r="213" spans="1:6" x14ac:dyDescent="0.3">
      <c r="A213" s="8"/>
      <c r="B213" s="4">
        <v>9709</v>
      </c>
      <c r="C213" s="4">
        <v>0.61</v>
      </c>
      <c r="D213" s="3" t="str">
        <f t="shared" si="6"/>
        <v>Play central-Libertador</v>
      </c>
      <c r="E213" s="3" t="str">
        <f t="shared" si="7"/>
        <v>Madurez Temprana</v>
      </c>
      <c r="F213" s="3" t="s">
        <v>84</v>
      </c>
    </row>
    <row r="214" spans="1:6" x14ac:dyDescent="0.3">
      <c r="A214" s="8"/>
      <c r="B214" s="4">
        <v>9735</v>
      </c>
      <c r="C214" s="4">
        <v>0.61</v>
      </c>
      <c r="D214" s="3" t="str">
        <f t="shared" si="6"/>
        <v>Play central-Libertador</v>
      </c>
      <c r="E214" s="3" t="str">
        <f t="shared" si="7"/>
        <v>Madurez Temprana</v>
      </c>
      <c r="F214" s="3" t="s">
        <v>84</v>
      </c>
    </row>
    <row r="215" spans="1:6" x14ac:dyDescent="0.3">
      <c r="A215" s="8"/>
      <c r="B215" s="4" cm="1">
        <f t="array" ref="B215:B227">'[1]Auca-0025'!B137:B149</f>
        <v>9883</v>
      </c>
      <c r="C215" s="4">
        <v>0.67</v>
      </c>
      <c r="D215" s="3" t="str">
        <f t="shared" si="6"/>
        <v>Play central-Libertador</v>
      </c>
      <c r="E215" s="3" t="str">
        <f t="shared" si="7"/>
        <v>Madurez Temprana</v>
      </c>
      <c r="F215" s="3" t="s">
        <v>92</v>
      </c>
    </row>
    <row r="216" spans="1:6" x14ac:dyDescent="0.3">
      <c r="A216" s="8"/>
      <c r="B216" s="4">
        <v>9885</v>
      </c>
      <c r="C216" s="4">
        <v>0.67</v>
      </c>
      <c r="D216" s="3" t="str">
        <f t="shared" si="6"/>
        <v>Play central-Libertador</v>
      </c>
      <c r="E216" s="3" t="str">
        <f t="shared" si="7"/>
        <v>Madurez Temprana</v>
      </c>
      <c r="F216" s="3" t="s">
        <v>92</v>
      </c>
    </row>
    <row r="217" spans="1:6" x14ac:dyDescent="0.3">
      <c r="A217" s="8"/>
      <c r="B217" s="4">
        <v>9890</v>
      </c>
      <c r="C217" s="4">
        <v>0.67</v>
      </c>
      <c r="D217" s="3" t="str">
        <f t="shared" si="6"/>
        <v>Play central-Libertador</v>
      </c>
      <c r="E217" s="3" t="str">
        <f t="shared" si="7"/>
        <v>Madurez Temprana</v>
      </c>
      <c r="F217" s="3" t="s">
        <v>92</v>
      </c>
    </row>
    <row r="218" spans="1:6" x14ac:dyDescent="0.3">
      <c r="A218" s="8"/>
      <c r="B218" s="4">
        <v>9893</v>
      </c>
      <c r="C218" s="4">
        <v>0.67</v>
      </c>
      <c r="D218" s="3" t="str">
        <f t="shared" si="6"/>
        <v>Play central-Libertador</v>
      </c>
      <c r="E218" s="3" t="str">
        <f t="shared" si="7"/>
        <v>Madurez Temprana</v>
      </c>
      <c r="F218" s="3" t="s">
        <v>92</v>
      </c>
    </row>
    <row r="219" spans="1:6" x14ac:dyDescent="0.3">
      <c r="A219" s="8"/>
      <c r="B219" s="4">
        <v>9898</v>
      </c>
      <c r="C219" s="4">
        <v>0.67</v>
      </c>
      <c r="D219" s="3" t="str">
        <f t="shared" si="6"/>
        <v>Play central-Libertador</v>
      </c>
      <c r="E219" s="3" t="str">
        <f t="shared" si="7"/>
        <v>Madurez Temprana</v>
      </c>
      <c r="F219" s="3" t="s">
        <v>92</v>
      </c>
    </row>
    <row r="220" spans="1:6" x14ac:dyDescent="0.3">
      <c r="A220" s="8"/>
      <c r="B220" s="4">
        <v>9908</v>
      </c>
      <c r="C220" s="4">
        <v>0.67</v>
      </c>
      <c r="D220" s="3" t="str">
        <f t="shared" si="6"/>
        <v>Play central-Libertador</v>
      </c>
      <c r="E220" s="3" t="str">
        <f t="shared" si="7"/>
        <v>Madurez Temprana</v>
      </c>
      <c r="F220" s="3" t="s">
        <v>92</v>
      </c>
    </row>
    <row r="221" spans="1:6" x14ac:dyDescent="0.3">
      <c r="A221" s="8"/>
      <c r="B221" s="4">
        <v>9914</v>
      </c>
      <c r="C221" s="4">
        <v>0.67</v>
      </c>
      <c r="D221" s="3" t="str">
        <f t="shared" si="6"/>
        <v>Play central-Libertador</v>
      </c>
      <c r="E221" s="3" t="str">
        <f t="shared" si="7"/>
        <v>Madurez Temprana</v>
      </c>
      <c r="F221" s="3" t="s">
        <v>92</v>
      </c>
    </row>
    <row r="222" spans="1:6" x14ac:dyDescent="0.3">
      <c r="A222" s="8"/>
      <c r="B222" s="4">
        <v>9915</v>
      </c>
      <c r="C222" s="4">
        <v>0.67</v>
      </c>
      <c r="D222" s="3" t="str">
        <f t="shared" si="6"/>
        <v>Play central-Libertador</v>
      </c>
      <c r="E222" s="3" t="str">
        <f t="shared" si="7"/>
        <v>Madurez Temprana</v>
      </c>
      <c r="F222" s="3" t="s">
        <v>92</v>
      </c>
    </row>
    <row r="223" spans="1:6" x14ac:dyDescent="0.3">
      <c r="A223" s="8"/>
      <c r="B223" s="4">
        <v>9919</v>
      </c>
      <c r="C223" s="4">
        <v>0.67</v>
      </c>
      <c r="D223" s="3" t="str">
        <f t="shared" si="6"/>
        <v>Play central-Libertador</v>
      </c>
      <c r="E223" s="3" t="str">
        <f t="shared" si="7"/>
        <v>Madurez Temprana</v>
      </c>
      <c r="F223" s="3" t="s">
        <v>92</v>
      </c>
    </row>
    <row r="224" spans="1:6" x14ac:dyDescent="0.3">
      <c r="A224" s="8"/>
      <c r="B224" s="4">
        <v>9920</v>
      </c>
      <c r="C224" s="4">
        <v>0.67</v>
      </c>
      <c r="D224" s="3" t="str">
        <f t="shared" si="6"/>
        <v>Play central-Libertador</v>
      </c>
      <c r="E224" s="3" t="str">
        <f t="shared" si="7"/>
        <v>Madurez Temprana</v>
      </c>
      <c r="F224" s="3" t="s">
        <v>92</v>
      </c>
    </row>
    <row r="225" spans="1:6" x14ac:dyDescent="0.3">
      <c r="A225" s="8"/>
      <c r="B225" s="4">
        <v>9932</v>
      </c>
      <c r="C225" s="4">
        <v>0.67</v>
      </c>
      <c r="D225" s="3" t="str">
        <f t="shared" si="6"/>
        <v>Play central-Libertador</v>
      </c>
      <c r="E225" s="3" t="str">
        <f t="shared" si="7"/>
        <v>Madurez Temprana</v>
      </c>
      <c r="F225" s="3" t="s">
        <v>92</v>
      </c>
    </row>
    <row r="226" spans="1:6" x14ac:dyDescent="0.3">
      <c r="A226" s="8"/>
      <c r="B226" s="4">
        <v>9934</v>
      </c>
      <c r="C226" s="4">
        <v>0.67</v>
      </c>
      <c r="D226" s="3" t="str">
        <f t="shared" si="6"/>
        <v>Play central-Libertador</v>
      </c>
      <c r="E226" s="3" t="str">
        <f t="shared" si="7"/>
        <v>Madurez Temprana</v>
      </c>
      <c r="F226" s="3" t="s">
        <v>92</v>
      </c>
    </row>
    <row r="227" spans="1:6" x14ac:dyDescent="0.3">
      <c r="A227" s="8"/>
      <c r="B227" s="4">
        <v>9936</v>
      </c>
      <c r="C227" s="4">
        <v>0.67</v>
      </c>
      <c r="D227" s="3" t="str">
        <f t="shared" si="6"/>
        <v>Play central-Libertador</v>
      </c>
      <c r="E227" s="3" t="str">
        <f t="shared" si="7"/>
        <v>Madurez Temprana</v>
      </c>
      <c r="F227" s="3" t="s">
        <v>92</v>
      </c>
    </row>
    <row r="228" spans="1:6" x14ac:dyDescent="0.3">
      <c r="A228" s="8" t="s">
        <v>47</v>
      </c>
      <c r="B228" s="4" cm="1">
        <f t="array" ref="B228:B229">'[1]Auca-0020'!B128:B129</f>
        <v>10027</v>
      </c>
      <c r="C228" s="4" cm="1">
        <f t="array" ref="C228:C229">'[1]Auca-0020'!C128:C129</f>
        <v>0.83</v>
      </c>
      <c r="D228" s="3" t="str">
        <f t="shared" si="6"/>
        <v>Play central-Libertador</v>
      </c>
      <c r="E228" s="3" t="str">
        <f t="shared" si="7"/>
        <v>Maduro</v>
      </c>
      <c r="F228" s="3" t="s">
        <v>91</v>
      </c>
    </row>
    <row r="229" spans="1:6" x14ac:dyDescent="0.3">
      <c r="A229" s="8"/>
      <c r="B229" s="4">
        <v>10035</v>
      </c>
      <c r="C229" s="4">
        <v>0.83</v>
      </c>
      <c r="D229" s="3" t="str">
        <f t="shared" si="6"/>
        <v>Play central-Libertador</v>
      </c>
      <c r="E229" s="3" t="str">
        <f t="shared" si="7"/>
        <v>Maduro</v>
      </c>
      <c r="F229" s="3" t="s">
        <v>94</v>
      </c>
    </row>
    <row r="230" spans="1:6" x14ac:dyDescent="0.3">
      <c r="A230" s="8" t="s">
        <v>48</v>
      </c>
      <c r="B230" s="4" cm="1">
        <f t="array" ref="B230:B232">'[1]Conga Sur-0001'!B129:B131</f>
        <v>9871.5</v>
      </c>
      <c r="C230" s="4" cm="1">
        <f t="array" ref="C230:C232">'[1]Conga Sur-0001'!C129:C131</f>
        <v>0.68</v>
      </c>
      <c r="D230" s="3" t="str">
        <f t="shared" si="6"/>
        <v>Play central-Libertador</v>
      </c>
      <c r="E230" s="3" t="str">
        <f t="shared" si="7"/>
        <v>Madurez Temprana</v>
      </c>
      <c r="F230" s="3" t="s">
        <v>84</v>
      </c>
    </row>
    <row r="231" spans="1:6" x14ac:dyDescent="0.3">
      <c r="A231" s="8"/>
      <c r="B231" s="4">
        <v>9880</v>
      </c>
      <c r="C231" s="4">
        <v>0.67833333333333334</v>
      </c>
      <c r="D231" s="3" t="str">
        <f t="shared" si="6"/>
        <v>Play central-Libertador</v>
      </c>
      <c r="E231" s="3" t="str">
        <f t="shared" si="7"/>
        <v>Madurez Temprana</v>
      </c>
      <c r="F231" s="3" t="s">
        <v>84</v>
      </c>
    </row>
    <row r="232" spans="1:6" x14ac:dyDescent="0.3">
      <c r="A232" s="8"/>
      <c r="B232" s="4">
        <v>9883</v>
      </c>
      <c r="C232" s="4">
        <v>0.71333333333333326</v>
      </c>
      <c r="D232" s="3" t="str">
        <f t="shared" si="6"/>
        <v>Play central-Libertador</v>
      </c>
      <c r="E232" s="3" t="str">
        <f t="shared" si="7"/>
        <v>Maduro</v>
      </c>
      <c r="F232" s="3" t="s">
        <v>84</v>
      </c>
    </row>
    <row r="233" spans="1:6" x14ac:dyDescent="0.3">
      <c r="A233" s="8"/>
      <c r="B233" s="4">
        <f>'[1]Conga Sur-0001'!B133</f>
        <v>10154</v>
      </c>
      <c r="C233" s="4">
        <f>'[1]Conga Sur-0001'!C133</f>
        <v>0.97</v>
      </c>
      <c r="D233" s="3" t="str">
        <f t="shared" si="6"/>
        <v>Play central-Libertador</v>
      </c>
      <c r="E233" s="3" t="str">
        <f t="shared" si="7"/>
        <v>Maduro</v>
      </c>
      <c r="F233" s="3" t="s">
        <v>92</v>
      </c>
    </row>
    <row r="234" spans="1:6" x14ac:dyDescent="0.3">
      <c r="A234" s="7" t="s">
        <v>49</v>
      </c>
      <c r="B234" s="4">
        <f>'[1]Armadillo-0001'!B129</f>
        <v>10170</v>
      </c>
      <c r="C234" s="4">
        <f>'[1]Armadillo-0001'!C129</f>
        <v>0.74</v>
      </c>
      <c r="D234" s="3" t="str">
        <f t="shared" si="6"/>
        <v>Play central-Libertador</v>
      </c>
      <c r="E234" s="3" t="str">
        <f t="shared" si="7"/>
        <v>Maduro</v>
      </c>
      <c r="F234" s="3" t="s">
        <v>86</v>
      </c>
    </row>
    <row r="235" spans="1:6" x14ac:dyDescent="0.3">
      <c r="A235" s="7" t="s">
        <v>50</v>
      </c>
      <c r="B235" s="4">
        <f>'[1]Rumiyacu-0001'!B128</f>
        <v>10648</v>
      </c>
      <c r="C235" s="4">
        <f>'[1]Rumiyacu-0001'!C128</f>
        <v>0.94499999999999995</v>
      </c>
      <c r="D235" s="3" t="str">
        <f t="shared" si="6"/>
        <v>Play central-Libertador</v>
      </c>
      <c r="E235" s="3" t="str">
        <f t="shared" si="7"/>
        <v>Maduro</v>
      </c>
      <c r="F235" s="3" t="s">
        <v>83</v>
      </c>
    </row>
    <row r="236" spans="1:6" x14ac:dyDescent="0.3">
      <c r="A236" s="8" t="s">
        <v>51</v>
      </c>
      <c r="B236" s="4" cm="1">
        <f t="array" ref="B236:B241">'[1]Cononaco-0025'!B128:B133</f>
        <v>10130.5</v>
      </c>
      <c r="C236" s="4">
        <v>0.72</v>
      </c>
      <c r="D236" s="3" t="str">
        <f t="shared" si="6"/>
        <v>Play central-Libertador</v>
      </c>
      <c r="E236" s="3" t="str">
        <f t="shared" si="7"/>
        <v>Maduro</v>
      </c>
      <c r="F236" s="3" t="s">
        <v>84</v>
      </c>
    </row>
    <row r="237" spans="1:6" x14ac:dyDescent="0.3">
      <c r="A237" s="8"/>
      <c r="B237" s="4">
        <v>10138</v>
      </c>
      <c r="C237" s="4">
        <v>0.72</v>
      </c>
      <c r="D237" s="3" t="str">
        <f t="shared" si="6"/>
        <v>Play central-Libertador</v>
      </c>
      <c r="E237" s="3" t="str">
        <f t="shared" si="7"/>
        <v>Maduro</v>
      </c>
      <c r="F237" s="3" t="s">
        <v>84</v>
      </c>
    </row>
    <row r="238" spans="1:6" x14ac:dyDescent="0.3">
      <c r="A238" s="8"/>
      <c r="B238" s="4">
        <v>10139</v>
      </c>
      <c r="C238" s="4">
        <v>0.72</v>
      </c>
      <c r="D238" s="3" t="str">
        <f t="shared" si="6"/>
        <v>Play central-Libertador</v>
      </c>
      <c r="E238" s="3" t="str">
        <f t="shared" si="7"/>
        <v>Maduro</v>
      </c>
      <c r="F238" s="3" t="s">
        <v>84</v>
      </c>
    </row>
    <row r="239" spans="1:6" x14ac:dyDescent="0.3">
      <c r="A239" s="8"/>
      <c r="B239" s="4">
        <v>10140</v>
      </c>
      <c r="C239" s="4">
        <v>0.72</v>
      </c>
      <c r="D239" s="3" t="str">
        <f t="shared" si="6"/>
        <v>Play central-Libertador</v>
      </c>
      <c r="E239" s="3" t="str">
        <f t="shared" si="7"/>
        <v>Maduro</v>
      </c>
      <c r="F239" s="3" t="s">
        <v>84</v>
      </c>
    </row>
    <row r="240" spans="1:6" x14ac:dyDescent="0.3">
      <c r="A240" s="8"/>
      <c r="B240" s="4">
        <v>10141</v>
      </c>
      <c r="C240" s="4">
        <v>0.72</v>
      </c>
      <c r="D240" s="3" t="str">
        <f t="shared" si="6"/>
        <v>Play central-Libertador</v>
      </c>
      <c r="E240" s="3" t="str">
        <f t="shared" si="7"/>
        <v>Maduro</v>
      </c>
      <c r="F240" s="3" t="s">
        <v>84</v>
      </c>
    </row>
    <row r="241" spans="1:6" x14ac:dyDescent="0.3">
      <c r="A241" s="8"/>
      <c r="B241" s="4">
        <v>10142.5</v>
      </c>
      <c r="C241" s="4">
        <v>0.72</v>
      </c>
      <c r="D241" s="3" t="str">
        <f t="shared" si="6"/>
        <v>Play central-Libertador</v>
      </c>
      <c r="E241" s="3" t="str">
        <f t="shared" si="7"/>
        <v>Maduro</v>
      </c>
      <c r="F241" s="3" t="s">
        <v>84</v>
      </c>
    </row>
    <row r="242" spans="1:6" x14ac:dyDescent="0.3">
      <c r="A242" s="7" t="s">
        <v>52</v>
      </c>
      <c r="B242" s="4">
        <f>'[1]Cononaco-0017'!B130</f>
        <v>9520</v>
      </c>
      <c r="C242" s="4">
        <f>'[1]Cononaco-0017'!C130</f>
        <v>0.66</v>
      </c>
      <c r="D242" s="3" t="str">
        <f t="shared" si="6"/>
        <v>Play central-Libertador</v>
      </c>
      <c r="E242" s="3" t="str">
        <f t="shared" si="7"/>
        <v>Madurez Temprana</v>
      </c>
      <c r="F242" s="3" t="s">
        <v>95</v>
      </c>
    </row>
    <row r="243" spans="1:6" x14ac:dyDescent="0.3">
      <c r="A243" s="8" t="s">
        <v>53</v>
      </c>
      <c r="B243" s="4" cm="1">
        <f t="array" ref="B243:B249">'[1]Cononaco-0004'!B128:B134</f>
        <v>9980</v>
      </c>
      <c r="C243" s="4">
        <v>0.69</v>
      </c>
      <c r="D243" s="3" t="str">
        <f t="shared" si="6"/>
        <v>Play central-Libertador</v>
      </c>
      <c r="E243" s="3" t="str">
        <f t="shared" si="7"/>
        <v>Madurez Temprana</v>
      </c>
      <c r="F243" s="3" t="s">
        <v>84</v>
      </c>
    </row>
    <row r="244" spans="1:6" x14ac:dyDescent="0.3">
      <c r="A244" s="8"/>
      <c r="B244" s="4">
        <v>9987</v>
      </c>
      <c r="C244" s="4">
        <v>0.69</v>
      </c>
      <c r="D244" s="3" t="str">
        <f t="shared" si="6"/>
        <v>Play central-Libertador</v>
      </c>
      <c r="E244" s="3" t="str">
        <f t="shared" si="7"/>
        <v>Madurez Temprana</v>
      </c>
      <c r="F244" s="3" t="s">
        <v>84</v>
      </c>
    </row>
    <row r="245" spans="1:6" x14ac:dyDescent="0.3">
      <c r="A245" s="8"/>
      <c r="B245" s="4">
        <v>9988</v>
      </c>
      <c r="C245" s="4">
        <v>0.69</v>
      </c>
      <c r="D245" s="3" t="str">
        <f t="shared" si="6"/>
        <v>Play central-Libertador</v>
      </c>
      <c r="E245" s="3" t="str">
        <f t="shared" si="7"/>
        <v>Madurez Temprana</v>
      </c>
      <c r="F245" s="3" t="s">
        <v>84</v>
      </c>
    </row>
    <row r="246" spans="1:6" x14ac:dyDescent="0.3">
      <c r="A246" s="8"/>
      <c r="B246" s="4">
        <v>9989</v>
      </c>
      <c r="C246" s="4">
        <v>0.69</v>
      </c>
      <c r="D246" s="3" t="str">
        <f t="shared" si="6"/>
        <v>Play central-Libertador</v>
      </c>
      <c r="E246" s="3" t="str">
        <f t="shared" si="7"/>
        <v>Madurez Temprana</v>
      </c>
      <c r="F246" s="3" t="s">
        <v>84</v>
      </c>
    </row>
    <row r="247" spans="1:6" x14ac:dyDescent="0.3">
      <c r="A247" s="8"/>
      <c r="B247" s="4">
        <v>9993</v>
      </c>
      <c r="C247" s="4">
        <v>0.69</v>
      </c>
      <c r="D247" s="3" t="str">
        <f t="shared" si="6"/>
        <v>Play central-Libertador</v>
      </c>
      <c r="E247" s="3" t="str">
        <f t="shared" si="7"/>
        <v>Madurez Temprana</v>
      </c>
      <c r="F247" s="3" t="s">
        <v>84</v>
      </c>
    </row>
    <row r="248" spans="1:6" x14ac:dyDescent="0.3">
      <c r="A248" s="8"/>
      <c r="B248" s="4">
        <v>10000</v>
      </c>
      <c r="C248" s="4">
        <v>0.69</v>
      </c>
      <c r="D248" s="3" t="str">
        <f t="shared" si="6"/>
        <v>Play central-Libertador</v>
      </c>
      <c r="E248" s="3" t="str">
        <f t="shared" si="7"/>
        <v>Madurez Temprana</v>
      </c>
      <c r="F248" s="3" t="s">
        <v>84</v>
      </c>
    </row>
    <row r="249" spans="1:6" x14ac:dyDescent="0.3">
      <c r="A249" s="8"/>
      <c r="B249" s="4">
        <v>10006</v>
      </c>
      <c r="C249" s="4">
        <v>0.69</v>
      </c>
      <c r="D249" s="3" t="str">
        <f t="shared" si="6"/>
        <v>Play central-Libertador</v>
      </c>
      <c r="E249" s="3" t="str">
        <f t="shared" si="7"/>
        <v>Madurez Temprana</v>
      </c>
      <c r="F249" s="3" t="s">
        <v>84</v>
      </c>
    </row>
    <row r="250" spans="1:6" x14ac:dyDescent="0.3">
      <c r="A250" s="8"/>
      <c r="B250" s="4">
        <f>'[1]Cononaco-0004'!B136</f>
        <v>10241</v>
      </c>
      <c r="C250" s="4">
        <f>'[1]Cononaco-0004'!C136</f>
        <v>0.74</v>
      </c>
      <c r="D250" s="3" t="str">
        <f t="shared" si="6"/>
        <v>Play central-Libertador</v>
      </c>
      <c r="E250" s="3" t="str">
        <f t="shared" si="7"/>
        <v>Maduro</v>
      </c>
      <c r="F250" s="3" t="s">
        <v>92</v>
      </c>
    </row>
    <row r="251" spans="1:6" x14ac:dyDescent="0.3">
      <c r="A251" s="8"/>
      <c r="B251" s="4">
        <f>'[1]Cononaco-0004'!B139</f>
        <v>10488</v>
      </c>
      <c r="C251" s="4">
        <f>'[1]Cononaco-0004'!C139</f>
        <v>0.81499999999999995</v>
      </c>
      <c r="D251" s="3" t="str">
        <f t="shared" si="6"/>
        <v>Play central-Libertador</v>
      </c>
      <c r="E251" s="3" t="str">
        <f t="shared" si="7"/>
        <v>Maduro</v>
      </c>
      <c r="F251" s="3" t="s">
        <v>97</v>
      </c>
    </row>
    <row r="252" spans="1:6" x14ac:dyDescent="0.3">
      <c r="A252" s="8" t="s">
        <v>54</v>
      </c>
      <c r="B252" s="4" cm="1">
        <f t="array" ref="B252:B264">'[1]Tiguino-0005'!B128:B140</f>
        <v>10361</v>
      </c>
      <c r="C252" s="4">
        <v>0.85</v>
      </c>
      <c r="D252" s="3" t="str">
        <f t="shared" si="6"/>
        <v>Play central-Libertador</v>
      </c>
      <c r="E252" s="3" t="str">
        <f t="shared" si="7"/>
        <v>Maduro</v>
      </c>
      <c r="F252" s="3" t="s">
        <v>98</v>
      </c>
    </row>
    <row r="253" spans="1:6" x14ac:dyDescent="0.3">
      <c r="A253" s="8"/>
      <c r="B253" s="4">
        <v>10366</v>
      </c>
      <c r="C253" s="4">
        <v>0.85</v>
      </c>
      <c r="D253" s="3" t="str">
        <f t="shared" si="6"/>
        <v>Play central-Libertador</v>
      </c>
      <c r="E253" s="3" t="str">
        <f t="shared" si="7"/>
        <v>Maduro</v>
      </c>
      <c r="F253" s="3" t="s">
        <v>98</v>
      </c>
    </row>
    <row r="254" spans="1:6" x14ac:dyDescent="0.3">
      <c r="A254" s="8"/>
      <c r="B254" s="4">
        <v>10369</v>
      </c>
      <c r="C254" s="4">
        <v>0.85</v>
      </c>
      <c r="D254" s="3" t="str">
        <f t="shared" si="6"/>
        <v>Play central-Libertador</v>
      </c>
      <c r="E254" s="3" t="str">
        <f t="shared" si="7"/>
        <v>Maduro</v>
      </c>
      <c r="F254" s="3" t="s">
        <v>98</v>
      </c>
    </row>
    <row r="255" spans="1:6" x14ac:dyDescent="0.3">
      <c r="A255" s="8"/>
      <c r="B255" s="4">
        <v>10372</v>
      </c>
      <c r="C255" s="4">
        <v>0.85</v>
      </c>
      <c r="D255" s="3" t="str">
        <f t="shared" si="6"/>
        <v>Play central-Libertador</v>
      </c>
      <c r="E255" s="3" t="str">
        <f t="shared" si="7"/>
        <v>Maduro</v>
      </c>
      <c r="F255" s="3" t="s">
        <v>98</v>
      </c>
    </row>
    <row r="256" spans="1:6" x14ac:dyDescent="0.3">
      <c r="A256" s="8"/>
      <c r="B256" s="4">
        <v>10375</v>
      </c>
      <c r="C256" s="4">
        <v>0.85</v>
      </c>
      <c r="D256" s="3" t="str">
        <f t="shared" ref="D256:D319" si="8">IF(B256&lt;4900, "Play subandino-Bermejo", IF(B256&lt;=6000, "Play oriental ITT", "Play central-Libertador"))</f>
        <v>Play central-Libertador</v>
      </c>
      <c r="E256" s="3" t="str">
        <f t="shared" si="7"/>
        <v>Maduro</v>
      </c>
      <c r="F256" s="3" t="s">
        <v>98</v>
      </c>
    </row>
    <row r="257" spans="1:6" x14ac:dyDescent="0.3">
      <c r="A257" s="8"/>
      <c r="B257" s="4">
        <v>10376</v>
      </c>
      <c r="C257" s="4">
        <v>0.85</v>
      </c>
      <c r="D257" s="3" t="str">
        <f t="shared" si="8"/>
        <v>Play central-Libertador</v>
      </c>
      <c r="E257" s="3" t="str">
        <f t="shared" ref="E257:E320" si="9">IF(C257&lt;0.55, "Inmaduro", IF(C257&lt;0.7, "Madurez Temprana",IF(C257&lt;=1,"Maduro","Sobremaduro")))</f>
        <v>Maduro</v>
      </c>
      <c r="F257" s="3" t="s">
        <v>98</v>
      </c>
    </row>
    <row r="258" spans="1:6" x14ac:dyDescent="0.3">
      <c r="A258" s="8"/>
      <c r="B258" s="4">
        <v>10377</v>
      </c>
      <c r="C258" s="4">
        <v>0.85</v>
      </c>
      <c r="D258" s="3" t="str">
        <f t="shared" si="8"/>
        <v>Play central-Libertador</v>
      </c>
      <c r="E258" s="3" t="str">
        <f t="shared" si="9"/>
        <v>Maduro</v>
      </c>
      <c r="F258" s="3" t="s">
        <v>98</v>
      </c>
    </row>
    <row r="259" spans="1:6" x14ac:dyDescent="0.3">
      <c r="A259" s="8"/>
      <c r="B259" s="4">
        <v>10378</v>
      </c>
      <c r="C259" s="4">
        <v>0.85</v>
      </c>
      <c r="D259" s="3" t="str">
        <f t="shared" si="8"/>
        <v>Play central-Libertador</v>
      </c>
      <c r="E259" s="3" t="str">
        <f t="shared" si="9"/>
        <v>Maduro</v>
      </c>
      <c r="F259" s="3" t="s">
        <v>98</v>
      </c>
    </row>
    <row r="260" spans="1:6" x14ac:dyDescent="0.3">
      <c r="A260" s="8"/>
      <c r="B260" s="4">
        <v>10381</v>
      </c>
      <c r="C260" s="4">
        <v>0.85</v>
      </c>
      <c r="D260" s="3" t="str">
        <f t="shared" si="8"/>
        <v>Play central-Libertador</v>
      </c>
      <c r="E260" s="3" t="str">
        <f t="shared" si="9"/>
        <v>Maduro</v>
      </c>
      <c r="F260" s="3" t="s">
        <v>98</v>
      </c>
    </row>
    <row r="261" spans="1:6" x14ac:dyDescent="0.3">
      <c r="A261" s="8"/>
      <c r="B261" s="4">
        <v>10384</v>
      </c>
      <c r="C261" s="4">
        <v>0.85</v>
      </c>
      <c r="D261" s="3" t="str">
        <f t="shared" si="8"/>
        <v>Play central-Libertador</v>
      </c>
      <c r="E261" s="3" t="str">
        <f t="shared" si="9"/>
        <v>Maduro</v>
      </c>
      <c r="F261" s="3" t="s">
        <v>98</v>
      </c>
    </row>
    <row r="262" spans="1:6" x14ac:dyDescent="0.3">
      <c r="A262" s="8"/>
      <c r="B262" s="4">
        <v>10386</v>
      </c>
      <c r="C262" s="4">
        <v>0.85</v>
      </c>
      <c r="D262" s="3" t="str">
        <f t="shared" si="8"/>
        <v>Play central-Libertador</v>
      </c>
      <c r="E262" s="3" t="str">
        <f t="shared" si="9"/>
        <v>Maduro</v>
      </c>
      <c r="F262" s="3" t="s">
        <v>98</v>
      </c>
    </row>
    <row r="263" spans="1:6" x14ac:dyDescent="0.3">
      <c r="A263" s="8"/>
      <c r="B263" s="4">
        <v>10388</v>
      </c>
      <c r="C263" s="4">
        <v>0.85</v>
      </c>
      <c r="D263" s="3" t="str">
        <f t="shared" si="8"/>
        <v>Play central-Libertador</v>
      </c>
      <c r="E263" s="3" t="str">
        <f t="shared" si="9"/>
        <v>Maduro</v>
      </c>
      <c r="F263" s="3" t="s">
        <v>98</v>
      </c>
    </row>
    <row r="264" spans="1:6" x14ac:dyDescent="0.3">
      <c r="A264" s="8"/>
      <c r="B264" s="4">
        <v>10390</v>
      </c>
      <c r="C264" s="4">
        <v>0.85</v>
      </c>
      <c r="D264" s="3" t="str">
        <f t="shared" si="8"/>
        <v>Play central-Libertador</v>
      </c>
      <c r="E264" s="3" t="str">
        <f t="shared" si="9"/>
        <v>Maduro</v>
      </c>
      <c r="F264" s="3" t="s">
        <v>98</v>
      </c>
    </row>
    <row r="265" spans="1:6" x14ac:dyDescent="0.3">
      <c r="A265" s="8" t="s">
        <v>55</v>
      </c>
      <c r="B265" s="4" cm="1">
        <f t="array" ref="B265:B270">'[1]Tiguino-0006'!B128:B133</f>
        <v>9810</v>
      </c>
      <c r="C265" s="4">
        <v>0.59</v>
      </c>
      <c r="D265" s="3" t="str">
        <f t="shared" si="8"/>
        <v>Play central-Libertador</v>
      </c>
      <c r="E265" s="3" t="str">
        <f t="shared" si="9"/>
        <v>Madurez Temprana</v>
      </c>
      <c r="F265" s="3" t="s">
        <v>95</v>
      </c>
    </row>
    <row r="266" spans="1:6" x14ac:dyDescent="0.3">
      <c r="A266" s="8"/>
      <c r="B266" s="4">
        <v>9815.5</v>
      </c>
      <c r="C266" s="4">
        <v>0.59</v>
      </c>
      <c r="D266" s="3" t="str">
        <f t="shared" si="8"/>
        <v>Play central-Libertador</v>
      </c>
      <c r="E266" s="3" t="str">
        <f t="shared" si="9"/>
        <v>Madurez Temprana</v>
      </c>
      <c r="F266" s="3" t="s">
        <v>95</v>
      </c>
    </row>
    <row r="267" spans="1:6" x14ac:dyDescent="0.3">
      <c r="A267" s="8"/>
      <c r="B267" s="4">
        <v>9818</v>
      </c>
      <c r="C267" s="4">
        <v>0.59</v>
      </c>
      <c r="D267" s="3" t="str">
        <f t="shared" si="8"/>
        <v>Play central-Libertador</v>
      </c>
      <c r="E267" s="3" t="str">
        <f t="shared" si="9"/>
        <v>Madurez Temprana</v>
      </c>
      <c r="F267" s="3" t="s">
        <v>91</v>
      </c>
    </row>
    <row r="268" spans="1:6" x14ac:dyDescent="0.3">
      <c r="A268" s="8"/>
      <c r="B268" s="4">
        <v>9829</v>
      </c>
      <c r="C268" s="4">
        <v>0.59</v>
      </c>
      <c r="D268" s="3" t="str">
        <f t="shared" si="8"/>
        <v>Play central-Libertador</v>
      </c>
      <c r="E268" s="3" t="str">
        <f t="shared" si="9"/>
        <v>Madurez Temprana</v>
      </c>
      <c r="F268" s="3" t="s">
        <v>91</v>
      </c>
    </row>
    <row r="269" spans="1:6" x14ac:dyDescent="0.3">
      <c r="A269" s="8"/>
      <c r="B269" s="4">
        <v>9832.5</v>
      </c>
      <c r="C269" s="4">
        <v>0.59</v>
      </c>
      <c r="D269" s="3" t="str">
        <f t="shared" si="8"/>
        <v>Play central-Libertador</v>
      </c>
      <c r="E269" s="3" t="str">
        <f t="shared" si="9"/>
        <v>Madurez Temprana</v>
      </c>
      <c r="F269" s="3" t="s">
        <v>86</v>
      </c>
    </row>
    <row r="270" spans="1:6" x14ac:dyDescent="0.3">
      <c r="A270" s="8"/>
      <c r="B270" s="4">
        <v>9837</v>
      </c>
      <c r="C270" s="4">
        <v>0.59</v>
      </c>
      <c r="D270" s="3" t="str">
        <f t="shared" si="8"/>
        <v>Play central-Libertador</v>
      </c>
      <c r="E270" s="3" t="str">
        <f t="shared" si="9"/>
        <v>Madurez Temprana</v>
      </c>
      <c r="F270" s="3" t="s">
        <v>86</v>
      </c>
    </row>
    <row r="271" spans="1:6" x14ac:dyDescent="0.3">
      <c r="A271" s="8"/>
      <c r="B271" s="4" cm="1">
        <f t="array" ref="B271:B274">'[1]Tiguino-0006'!B134:B137</f>
        <v>9986</v>
      </c>
      <c r="C271" s="4">
        <v>0.69</v>
      </c>
      <c r="D271" s="3" t="str">
        <f t="shared" si="8"/>
        <v>Play central-Libertador</v>
      </c>
      <c r="E271" s="3" t="str">
        <f t="shared" si="9"/>
        <v>Madurez Temprana</v>
      </c>
      <c r="F271" s="3" t="s">
        <v>86</v>
      </c>
    </row>
    <row r="272" spans="1:6" x14ac:dyDescent="0.3">
      <c r="A272" s="8"/>
      <c r="B272" s="4">
        <v>9992</v>
      </c>
      <c r="C272" s="4">
        <v>0.69</v>
      </c>
      <c r="D272" s="3" t="str">
        <f t="shared" si="8"/>
        <v>Play central-Libertador</v>
      </c>
      <c r="E272" s="3" t="str">
        <f t="shared" si="9"/>
        <v>Madurez Temprana</v>
      </c>
      <c r="F272" s="3" t="s">
        <v>86</v>
      </c>
    </row>
    <row r="273" spans="1:6" x14ac:dyDescent="0.3">
      <c r="A273" s="8"/>
      <c r="B273" s="4">
        <v>9998</v>
      </c>
      <c r="C273" s="4">
        <v>0.69</v>
      </c>
      <c r="D273" s="3" t="str">
        <f t="shared" si="8"/>
        <v>Play central-Libertador</v>
      </c>
      <c r="E273" s="3" t="str">
        <f t="shared" si="9"/>
        <v>Madurez Temprana</v>
      </c>
      <c r="F273" s="3" t="s">
        <v>86</v>
      </c>
    </row>
    <row r="274" spans="1:6" x14ac:dyDescent="0.3">
      <c r="A274" s="8"/>
      <c r="B274" s="4">
        <v>10003</v>
      </c>
      <c r="C274" s="4">
        <v>0.69</v>
      </c>
      <c r="D274" s="3" t="str">
        <f t="shared" si="8"/>
        <v>Play central-Libertador</v>
      </c>
      <c r="E274" s="3" t="str">
        <f t="shared" si="9"/>
        <v>Madurez Temprana</v>
      </c>
      <c r="F274" s="3" t="s">
        <v>86</v>
      </c>
    </row>
    <row r="275" spans="1:6" x14ac:dyDescent="0.3">
      <c r="A275" s="8" t="s">
        <v>56</v>
      </c>
      <c r="B275" s="4" cm="1">
        <f t="array" ref="B275:B276">'[1]VHR-0006'!B128:B129</f>
        <v>7974</v>
      </c>
      <c r="C275" s="4">
        <v>0.73</v>
      </c>
      <c r="D275" s="3" t="str">
        <f t="shared" si="8"/>
        <v>Play central-Libertador</v>
      </c>
      <c r="E275" s="3" t="str">
        <f t="shared" si="9"/>
        <v>Maduro</v>
      </c>
      <c r="F275" s="3" t="s">
        <v>91</v>
      </c>
    </row>
    <row r="276" spans="1:6" x14ac:dyDescent="0.3">
      <c r="A276" s="8"/>
      <c r="B276" s="4">
        <v>7983</v>
      </c>
      <c r="C276" s="4">
        <v>0.73</v>
      </c>
      <c r="D276" s="3" t="str">
        <f t="shared" si="8"/>
        <v>Play central-Libertador</v>
      </c>
      <c r="E276" s="3" t="str">
        <f t="shared" si="9"/>
        <v>Maduro</v>
      </c>
      <c r="F276" s="3" t="s">
        <v>91</v>
      </c>
    </row>
    <row r="277" spans="1:6" x14ac:dyDescent="0.3">
      <c r="A277" s="8" t="s">
        <v>57</v>
      </c>
      <c r="B277" s="4" cm="1">
        <f t="array" ref="B277:B279">'[1]VHR-0003'!B128:B130</f>
        <v>8002</v>
      </c>
      <c r="C277" s="4">
        <v>0.72</v>
      </c>
      <c r="D277" s="3" t="str">
        <f t="shared" si="8"/>
        <v>Play central-Libertador</v>
      </c>
      <c r="E277" s="3" t="str">
        <f t="shared" si="9"/>
        <v>Maduro</v>
      </c>
      <c r="F277" s="3" t="s">
        <v>84</v>
      </c>
    </row>
    <row r="278" spans="1:6" x14ac:dyDescent="0.3">
      <c r="A278" s="8"/>
      <c r="B278" s="4">
        <v>8011.5</v>
      </c>
      <c r="C278" s="4">
        <v>0.72</v>
      </c>
      <c r="D278" s="3" t="str">
        <f t="shared" si="8"/>
        <v>Play central-Libertador</v>
      </c>
      <c r="E278" s="3" t="str">
        <f t="shared" si="9"/>
        <v>Maduro</v>
      </c>
      <c r="F278" s="3" t="s">
        <v>84</v>
      </c>
    </row>
    <row r="279" spans="1:6" x14ac:dyDescent="0.3">
      <c r="A279" s="8"/>
      <c r="B279" s="4">
        <v>8018</v>
      </c>
      <c r="C279" s="4">
        <v>0.72</v>
      </c>
      <c r="D279" s="3" t="str">
        <f t="shared" si="8"/>
        <v>Play central-Libertador</v>
      </c>
      <c r="E279" s="3" t="str">
        <f t="shared" si="9"/>
        <v>Maduro</v>
      </c>
      <c r="F279" s="3" t="s">
        <v>84</v>
      </c>
    </row>
    <row r="280" spans="1:6" x14ac:dyDescent="0.3">
      <c r="A280" s="5" t="s">
        <v>58</v>
      </c>
      <c r="B280" s="4">
        <f>'[1]Alama-0001'!B128</f>
        <v>7846</v>
      </c>
      <c r="C280" s="4">
        <f>'[1]Alama-0001'!C128</f>
        <v>0.83</v>
      </c>
      <c r="D280" s="3" t="str">
        <f t="shared" si="8"/>
        <v>Play central-Libertador</v>
      </c>
      <c r="E280" s="3" t="str">
        <f t="shared" si="9"/>
        <v>Maduro</v>
      </c>
      <c r="F280" s="3" t="s">
        <v>84</v>
      </c>
    </row>
    <row r="281" spans="1:6" x14ac:dyDescent="0.3">
      <c r="A281" s="5" t="s">
        <v>59</v>
      </c>
      <c r="B281" s="4">
        <f>'[1]Sansahuari-0001'!B126</f>
        <v>7932</v>
      </c>
      <c r="C281" s="4">
        <f>'[1]Sansahuari-0001'!C126</f>
        <v>0.71</v>
      </c>
      <c r="D281" s="3" t="str">
        <f t="shared" si="8"/>
        <v>Play central-Libertador</v>
      </c>
      <c r="E281" s="3" t="str">
        <f t="shared" si="9"/>
        <v>Maduro</v>
      </c>
      <c r="F281" s="3" t="s">
        <v>84</v>
      </c>
    </row>
    <row r="282" spans="1:6" x14ac:dyDescent="0.3">
      <c r="A282" s="8" t="s">
        <v>60</v>
      </c>
      <c r="B282" s="4" cm="1">
        <f t="array" ref="B282:B285">'[1]Sansahuari-0011'!C86:C89</f>
        <v>7596.8</v>
      </c>
      <c r="C282" s="4">
        <v>0.6</v>
      </c>
      <c r="D282" s="3" t="str">
        <f t="shared" si="8"/>
        <v>Play central-Libertador</v>
      </c>
      <c r="E282" s="3" t="str">
        <f t="shared" si="9"/>
        <v>Madurez Temprana</v>
      </c>
      <c r="F282" s="3" t="s">
        <v>86</v>
      </c>
    </row>
    <row r="283" spans="1:6" x14ac:dyDescent="0.3">
      <c r="A283" s="8"/>
      <c r="B283" s="4">
        <v>7598.5</v>
      </c>
      <c r="C283" s="4">
        <v>0.6</v>
      </c>
      <c r="D283" s="3" t="str">
        <f t="shared" si="8"/>
        <v>Play central-Libertador</v>
      </c>
      <c r="E283" s="3" t="str">
        <f t="shared" si="9"/>
        <v>Madurez Temprana</v>
      </c>
      <c r="F283" s="3" t="s">
        <v>86</v>
      </c>
    </row>
    <row r="284" spans="1:6" x14ac:dyDescent="0.3">
      <c r="A284" s="8"/>
      <c r="B284" s="4">
        <v>7615</v>
      </c>
      <c r="C284" s="4">
        <v>0.6</v>
      </c>
      <c r="D284" s="3" t="str">
        <f t="shared" si="8"/>
        <v>Play central-Libertador</v>
      </c>
      <c r="E284" s="3" t="str">
        <f t="shared" si="9"/>
        <v>Madurez Temprana</v>
      </c>
      <c r="F284" s="3" t="s">
        <v>86</v>
      </c>
    </row>
    <row r="285" spans="1:6" x14ac:dyDescent="0.3">
      <c r="A285" s="8"/>
      <c r="B285" s="4">
        <v>7619</v>
      </c>
      <c r="C285" s="4">
        <v>0.6</v>
      </c>
      <c r="D285" s="3" t="str">
        <f t="shared" si="8"/>
        <v>Play central-Libertador</v>
      </c>
      <c r="E285" s="3" t="str">
        <f t="shared" si="9"/>
        <v>Madurez Temprana</v>
      </c>
      <c r="F285" s="3" t="s">
        <v>86</v>
      </c>
    </row>
    <row r="286" spans="1:6" x14ac:dyDescent="0.3">
      <c r="A286" s="8" t="s">
        <v>61</v>
      </c>
      <c r="B286" s="4" cm="1">
        <f t="array" ref="B286:B288">'[1]Cuyabeno-0023'!B128:B130</f>
        <v>7643</v>
      </c>
      <c r="C286" s="4">
        <v>0.66</v>
      </c>
      <c r="D286" s="3" t="str">
        <f t="shared" si="8"/>
        <v>Play central-Libertador</v>
      </c>
      <c r="E286" s="3" t="str">
        <f t="shared" si="9"/>
        <v>Madurez Temprana</v>
      </c>
      <c r="F286" s="3" t="s">
        <v>86</v>
      </c>
    </row>
    <row r="287" spans="1:6" x14ac:dyDescent="0.3">
      <c r="A287" s="8"/>
      <c r="B287" s="4">
        <v>7645</v>
      </c>
      <c r="C287" s="4">
        <v>0.66</v>
      </c>
      <c r="D287" s="3" t="str">
        <f t="shared" si="8"/>
        <v>Play central-Libertador</v>
      </c>
      <c r="E287" s="3" t="str">
        <f t="shared" si="9"/>
        <v>Madurez Temprana</v>
      </c>
      <c r="F287" s="3" t="s">
        <v>86</v>
      </c>
    </row>
    <row r="288" spans="1:6" x14ac:dyDescent="0.3">
      <c r="A288" s="8"/>
      <c r="B288" s="4">
        <v>7654</v>
      </c>
      <c r="C288" s="4">
        <v>0.66</v>
      </c>
      <c r="D288" s="3" t="str">
        <f t="shared" si="8"/>
        <v>Play central-Libertador</v>
      </c>
      <c r="E288" s="3" t="str">
        <f t="shared" si="9"/>
        <v>Madurez Temprana</v>
      </c>
      <c r="F288" s="3" t="s">
        <v>86</v>
      </c>
    </row>
    <row r="289" spans="1:6" x14ac:dyDescent="0.3">
      <c r="A289" s="8" t="s">
        <v>62</v>
      </c>
      <c r="B289" s="4" cm="1">
        <f t="array" ref="B289:B290">'[1]Cuyabeno-0002'!B128:B129</f>
        <v>7152</v>
      </c>
      <c r="C289" s="4" cm="1">
        <f t="array" ref="C289:C290">'[1]Cuyabeno-0002'!C128:C129</f>
        <v>0.59</v>
      </c>
      <c r="D289" s="3" t="str">
        <f t="shared" si="8"/>
        <v>Play central-Libertador</v>
      </c>
      <c r="E289" s="3" t="str">
        <f t="shared" si="9"/>
        <v>Madurez Temprana</v>
      </c>
      <c r="F289" s="3" t="s">
        <v>99</v>
      </c>
    </row>
    <row r="290" spans="1:6" x14ac:dyDescent="0.3">
      <c r="A290" s="8"/>
      <c r="B290" s="4">
        <v>7757</v>
      </c>
      <c r="C290" s="4">
        <v>0.71</v>
      </c>
      <c r="D290" s="3" t="str">
        <f t="shared" si="8"/>
        <v>Play central-Libertador</v>
      </c>
      <c r="E290" s="3" t="str">
        <f t="shared" si="9"/>
        <v>Maduro</v>
      </c>
      <c r="F290" s="3" t="s">
        <v>84</v>
      </c>
    </row>
    <row r="291" spans="1:6" x14ac:dyDescent="0.3">
      <c r="A291" s="8" t="s">
        <v>63</v>
      </c>
      <c r="B291" s="4" cm="1">
        <f t="array" ref="B291:B293">'[1]Siona-0001'!B128:B130</f>
        <v>7128</v>
      </c>
      <c r="C291" s="4">
        <f>'[1]Siona-0001'!C128</f>
        <v>0.56999999999999995</v>
      </c>
      <c r="D291" s="3" t="str">
        <f t="shared" si="8"/>
        <v>Play central-Libertador</v>
      </c>
      <c r="E291" s="3" t="str">
        <f t="shared" si="9"/>
        <v>Madurez Temprana</v>
      </c>
      <c r="F291" s="3" t="s">
        <v>99</v>
      </c>
    </row>
    <row r="292" spans="1:6" x14ac:dyDescent="0.3">
      <c r="A292" s="8"/>
      <c r="B292" s="4">
        <v>7935</v>
      </c>
      <c r="C292" s="4">
        <v>0.66</v>
      </c>
      <c r="D292" s="3" t="str">
        <f t="shared" si="8"/>
        <v>Play central-Libertador</v>
      </c>
      <c r="E292" s="3" t="str">
        <f t="shared" si="9"/>
        <v>Madurez Temprana</v>
      </c>
      <c r="F292" s="3" t="s">
        <v>92</v>
      </c>
    </row>
    <row r="293" spans="1:6" x14ac:dyDescent="0.3">
      <c r="A293" s="8"/>
      <c r="B293" s="4">
        <v>7941</v>
      </c>
      <c r="C293" s="4">
        <v>0.66</v>
      </c>
      <c r="D293" s="3" t="str">
        <f t="shared" si="8"/>
        <v>Play central-Libertador</v>
      </c>
      <c r="E293" s="3" t="str">
        <f t="shared" si="9"/>
        <v>Madurez Temprana</v>
      </c>
      <c r="F293" s="3" t="s">
        <v>92</v>
      </c>
    </row>
    <row r="294" spans="1:6" x14ac:dyDescent="0.3">
      <c r="A294" s="8" t="s">
        <v>64</v>
      </c>
      <c r="B294" s="4">
        <f>'[1]Pañacocha-0002'!B128</f>
        <v>6600</v>
      </c>
      <c r="C294" s="4">
        <f>'[1]Pañacocha-0002'!C128</f>
        <v>0.43083333333333335</v>
      </c>
      <c r="D294" s="3" t="str">
        <f t="shared" si="8"/>
        <v>Play central-Libertador</v>
      </c>
      <c r="E294" s="3" t="str">
        <f t="shared" si="9"/>
        <v>Inmaduro</v>
      </c>
      <c r="F294" s="3" t="s">
        <v>100</v>
      </c>
    </row>
    <row r="295" spans="1:6" x14ac:dyDescent="0.3">
      <c r="A295" s="8"/>
      <c r="B295" s="4" cm="1">
        <f t="array" ref="B295:B296">'[1]Pañacocha-0002'!B131:B132</f>
        <v>6904</v>
      </c>
      <c r="C295" s="4" cm="1">
        <f t="array" ref="C295:C296">'[1]Pañacocha-0002'!C131:C132</f>
        <v>0.48</v>
      </c>
      <c r="D295" s="3" t="str">
        <f t="shared" si="8"/>
        <v>Play central-Libertador</v>
      </c>
      <c r="E295" s="3" t="str">
        <f t="shared" si="9"/>
        <v>Inmaduro</v>
      </c>
      <c r="F295" s="3" t="s">
        <v>84</v>
      </c>
    </row>
    <row r="296" spans="1:6" x14ac:dyDescent="0.3">
      <c r="A296" s="8"/>
      <c r="B296" s="4">
        <v>7200</v>
      </c>
      <c r="C296" s="4">
        <v>0.5</v>
      </c>
      <c r="D296" s="3" t="str">
        <f t="shared" si="8"/>
        <v>Play central-Libertador</v>
      </c>
      <c r="E296" s="3" t="str">
        <f t="shared" si="9"/>
        <v>Inmaduro</v>
      </c>
      <c r="F296" s="3" t="s">
        <v>92</v>
      </c>
    </row>
    <row r="297" spans="1:6" x14ac:dyDescent="0.3">
      <c r="A297" s="8" t="s">
        <v>65</v>
      </c>
      <c r="B297" s="4" cm="1">
        <f t="array" ref="B297:B299">'[1]Tangay-0001'!B129:B131</f>
        <v>7220</v>
      </c>
      <c r="C297" s="4" cm="1">
        <f t="array" ref="C297:C299">'[1]Tangay-0001'!C129:C131</f>
        <v>0.5</v>
      </c>
      <c r="D297" s="3" t="str">
        <f t="shared" si="8"/>
        <v>Play central-Libertador</v>
      </c>
      <c r="E297" s="3" t="str">
        <f t="shared" si="9"/>
        <v>Inmaduro</v>
      </c>
      <c r="F297" s="3" t="s">
        <v>90</v>
      </c>
    </row>
    <row r="298" spans="1:6" x14ac:dyDescent="0.3">
      <c r="A298" s="8"/>
      <c r="B298" s="4">
        <v>7340</v>
      </c>
      <c r="C298" s="4">
        <v>0.5099999999999999</v>
      </c>
      <c r="D298" s="3" t="str">
        <f t="shared" si="8"/>
        <v>Play central-Libertador</v>
      </c>
      <c r="E298" s="3" t="str">
        <f t="shared" si="9"/>
        <v>Inmaduro</v>
      </c>
      <c r="F298" s="3" t="s">
        <v>90</v>
      </c>
    </row>
    <row r="299" spans="1:6" x14ac:dyDescent="0.3">
      <c r="A299" s="8"/>
      <c r="B299" s="4">
        <v>7500</v>
      </c>
      <c r="C299" s="4">
        <v>0.53</v>
      </c>
      <c r="D299" s="3" t="str">
        <f t="shared" si="8"/>
        <v>Play central-Libertador</v>
      </c>
      <c r="E299" s="3" t="str">
        <f t="shared" si="9"/>
        <v>Inmaduro</v>
      </c>
      <c r="F299" s="3" t="s">
        <v>90</v>
      </c>
    </row>
    <row r="300" spans="1:6" x14ac:dyDescent="0.3">
      <c r="A300" s="8" t="s">
        <v>66</v>
      </c>
      <c r="B300" s="4" cm="1">
        <f t="array" ref="B300:B303">'[1]Paujil-0001'!C85:C88</f>
        <v>6204</v>
      </c>
      <c r="C300" s="4">
        <v>0.37</v>
      </c>
      <c r="D300" s="3" t="str">
        <f t="shared" si="8"/>
        <v>Play central-Libertador</v>
      </c>
      <c r="E300" s="3" t="str">
        <f t="shared" si="9"/>
        <v>Inmaduro</v>
      </c>
      <c r="F300" s="3" t="s">
        <v>84</v>
      </c>
    </row>
    <row r="301" spans="1:6" x14ac:dyDescent="0.3">
      <c r="A301" s="8"/>
      <c r="B301" s="4">
        <v>6212</v>
      </c>
      <c r="C301" s="4">
        <v>0.37</v>
      </c>
      <c r="D301" s="3" t="str">
        <f t="shared" si="8"/>
        <v>Play central-Libertador</v>
      </c>
      <c r="E301" s="3" t="str">
        <f t="shared" si="9"/>
        <v>Inmaduro</v>
      </c>
      <c r="F301" s="3" t="s">
        <v>84</v>
      </c>
    </row>
    <row r="302" spans="1:6" x14ac:dyDescent="0.3">
      <c r="A302" s="8"/>
      <c r="B302" s="4">
        <v>6214.5</v>
      </c>
      <c r="C302" s="4">
        <v>0.37</v>
      </c>
      <c r="D302" s="3" t="str">
        <f t="shared" si="8"/>
        <v>Play central-Libertador</v>
      </c>
      <c r="E302" s="3" t="str">
        <f t="shared" si="9"/>
        <v>Inmaduro</v>
      </c>
      <c r="F302" s="3" t="s">
        <v>84</v>
      </c>
    </row>
    <row r="303" spans="1:6" x14ac:dyDescent="0.3">
      <c r="A303" s="8"/>
      <c r="B303" s="4">
        <v>6450</v>
      </c>
      <c r="C303" s="4">
        <f>'[1]Paujil-0001'!D88</f>
        <v>0.39333333333333337</v>
      </c>
      <c r="D303" s="3" t="str">
        <f t="shared" si="8"/>
        <v>Play central-Libertador</v>
      </c>
      <c r="E303" s="3" t="str">
        <f t="shared" si="9"/>
        <v>Inmaduro</v>
      </c>
      <c r="F303" s="3" t="s">
        <v>92</v>
      </c>
    </row>
    <row r="304" spans="1:6" x14ac:dyDescent="0.3">
      <c r="A304" s="8" t="s">
        <v>67</v>
      </c>
      <c r="B304" s="4" cm="1">
        <f t="array" ref="B304:B312">'[1]Apaika-0019'!C86:C94</f>
        <v>8020</v>
      </c>
      <c r="C304" s="4" cm="1">
        <f t="array" ref="C304:C312">'[1]Apaika-0019'!D86:D94</f>
        <v>0.60777777777777786</v>
      </c>
      <c r="D304" s="3" t="str">
        <f t="shared" si="8"/>
        <v>Play central-Libertador</v>
      </c>
      <c r="E304" s="3" t="str">
        <f t="shared" si="9"/>
        <v>Madurez Temprana</v>
      </c>
      <c r="F304" s="3" t="s">
        <v>100</v>
      </c>
    </row>
    <row r="305" spans="1:6" x14ac:dyDescent="0.3">
      <c r="A305" s="8"/>
      <c r="B305" s="4">
        <v>8300</v>
      </c>
      <c r="C305" s="4">
        <v>0.65777777777777779</v>
      </c>
      <c r="D305" s="3" t="str">
        <f t="shared" si="8"/>
        <v>Play central-Libertador</v>
      </c>
      <c r="E305" s="3" t="str">
        <f t="shared" si="9"/>
        <v>Madurez Temprana</v>
      </c>
      <c r="F305" s="3" t="s">
        <v>99</v>
      </c>
    </row>
    <row r="306" spans="1:6" x14ac:dyDescent="0.3">
      <c r="A306" s="8"/>
      <c r="B306" s="4">
        <v>8430</v>
      </c>
      <c r="C306" s="4">
        <v>0.68214285714285716</v>
      </c>
      <c r="D306" s="3" t="str">
        <f t="shared" si="8"/>
        <v>Play central-Libertador</v>
      </c>
      <c r="E306" s="3" t="str">
        <f t="shared" si="9"/>
        <v>Madurez Temprana</v>
      </c>
      <c r="F306" s="3" t="s">
        <v>99</v>
      </c>
    </row>
    <row r="307" spans="1:6" x14ac:dyDescent="0.3">
      <c r="A307" s="8"/>
      <c r="B307" s="4">
        <v>8560</v>
      </c>
      <c r="C307" s="4">
        <v>0.69750000000000001</v>
      </c>
      <c r="D307" s="3" t="str">
        <f t="shared" si="8"/>
        <v>Play central-Libertador</v>
      </c>
      <c r="E307" s="3" t="str">
        <f t="shared" si="9"/>
        <v>Madurez Temprana</v>
      </c>
      <c r="F307" s="3" t="s">
        <v>99</v>
      </c>
    </row>
    <row r="308" spans="1:6" x14ac:dyDescent="0.3">
      <c r="A308" s="8"/>
      <c r="B308" s="4">
        <v>8750</v>
      </c>
      <c r="C308" s="4">
        <v>0.72333333333333327</v>
      </c>
      <c r="D308" s="3" t="str">
        <f t="shared" si="8"/>
        <v>Play central-Libertador</v>
      </c>
      <c r="E308" s="3" t="str">
        <f t="shared" si="9"/>
        <v>Maduro</v>
      </c>
      <c r="F308" s="3" t="s">
        <v>99</v>
      </c>
    </row>
    <row r="309" spans="1:6" x14ac:dyDescent="0.3">
      <c r="A309" s="8"/>
      <c r="B309" s="4">
        <v>8920</v>
      </c>
      <c r="C309" s="4">
        <v>0.75611111111111107</v>
      </c>
      <c r="D309" s="3" t="str">
        <f t="shared" si="8"/>
        <v>Play central-Libertador</v>
      </c>
      <c r="E309" s="3" t="str">
        <f t="shared" si="9"/>
        <v>Maduro</v>
      </c>
      <c r="F309" s="3" t="s">
        <v>99</v>
      </c>
    </row>
    <row r="310" spans="1:6" x14ac:dyDescent="0.3">
      <c r="A310" s="8"/>
      <c r="B310" s="4">
        <v>9060</v>
      </c>
      <c r="C310" s="4">
        <v>0.78666666666666674</v>
      </c>
      <c r="D310" s="3" t="str">
        <f t="shared" si="8"/>
        <v>Play central-Libertador</v>
      </c>
      <c r="E310" s="3" t="str">
        <f t="shared" si="9"/>
        <v>Maduro</v>
      </c>
      <c r="F310" s="3" t="s">
        <v>101</v>
      </c>
    </row>
    <row r="311" spans="1:6" x14ac:dyDescent="0.3">
      <c r="A311" s="8"/>
      <c r="B311" s="4">
        <v>9210</v>
      </c>
      <c r="C311" s="4">
        <v>0.80043478260869549</v>
      </c>
      <c r="D311" s="3" t="str">
        <f t="shared" si="8"/>
        <v>Play central-Libertador</v>
      </c>
      <c r="E311" s="3" t="str">
        <f t="shared" si="9"/>
        <v>Maduro</v>
      </c>
      <c r="F311" s="3" t="s">
        <v>101</v>
      </c>
    </row>
    <row r="312" spans="1:6" x14ac:dyDescent="0.3">
      <c r="A312" s="8"/>
      <c r="B312" s="4">
        <v>9360</v>
      </c>
      <c r="C312" s="4">
        <v>0.81818181818181823</v>
      </c>
      <c r="D312" s="3" t="str">
        <f t="shared" si="8"/>
        <v>Play central-Libertador</v>
      </c>
      <c r="E312" s="3" t="str">
        <f t="shared" si="9"/>
        <v>Maduro</v>
      </c>
      <c r="F312" s="3" t="s">
        <v>84</v>
      </c>
    </row>
    <row r="313" spans="1:6" x14ac:dyDescent="0.3">
      <c r="A313" s="8" t="s">
        <v>68</v>
      </c>
      <c r="B313" s="4">
        <f>'[1]Dicaron-0001'!B128</f>
        <v>9517</v>
      </c>
      <c r="C313" s="4">
        <f>'[1]Dicaron-0001'!C128</f>
        <v>0.64500000000000002</v>
      </c>
      <c r="D313" s="3" t="str">
        <f t="shared" si="8"/>
        <v>Play central-Libertador</v>
      </c>
      <c r="E313" s="3" t="str">
        <f t="shared" si="9"/>
        <v>Madurez Temprana</v>
      </c>
      <c r="F313" s="3" t="s">
        <v>86</v>
      </c>
    </row>
    <row r="314" spans="1:6" x14ac:dyDescent="0.3">
      <c r="A314" s="8"/>
      <c r="B314" s="4">
        <f>'[1]Dicaron-0001'!B130</f>
        <v>10026</v>
      </c>
      <c r="C314" s="4">
        <f>'[1]Dicaron-0001'!C130</f>
        <v>0.72857142857142854</v>
      </c>
      <c r="D314" s="3" t="str">
        <f t="shared" si="8"/>
        <v>Play central-Libertador</v>
      </c>
      <c r="E314" s="3" t="str">
        <f t="shared" si="9"/>
        <v>Maduro</v>
      </c>
      <c r="F314" s="3" t="s">
        <v>83</v>
      </c>
    </row>
    <row r="315" spans="1:6" x14ac:dyDescent="0.3">
      <c r="A315" s="8" t="s">
        <v>69</v>
      </c>
      <c r="B315" s="4" cm="1">
        <f t="array" ref="B315:B321">'[1]Cowi-0001'!B128:B134</f>
        <v>8400</v>
      </c>
      <c r="C315" s="4" cm="1">
        <f t="array" ref="C315:C321">'[1]Cowi-0001'!C128:C134</f>
        <v>0.375</v>
      </c>
      <c r="D315" s="3" t="str">
        <f t="shared" si="8"/>
        <v>Play central-Libertador</v>
      </c>
      <c r="E315" s="3" t="str">
        <f t="shared" si="9"/>
        <v>Inmaduro</v>
      </c>
      <c r="F315" s="3" t="s">
        <v>96</v>
      </c>
    </row>
    <row r="316" spans="1:6" x14ac:dyDescent="0.3">
      <c r="A316" s="8"/>
      <c r="B316" s="4">
        <v>8642</v>
      </c>
      <c r="C316" s="4">
        <v>0.40896551724137931</v>
      </c>
      <c r="D316" s="3" t="str">
        <f t="shared" si="8"/>
        <v>Play central-Libertador</v>
      </c>
      <c r="E316" s="3" t="str">
        <f t="shared" si="9"/>
        <v>Inmaduro</v>
      </c>
      <c r="F316" s="3" t="s">
        <v>96</v>
      </c>
    </row>
    <row r="317" spans="1:6" x14ac:dyDescent="0.3">
      <c r="A317" s="8"/>
      <c r="B317" s="4">
        <v>8820</v>
      </c>
      <c r="C317" s="4">
        <v>0.44352941176470606</v>
      </c>
      <c r="D317" s="3" t="str">
        <f t="shared" si="8"/>
        <v>Play central-Libertador</v>
      </c>
      <c r="E317" s="3" t="str">
        <f t="shared" si="9"/>
        <v>Inmaduro</v>
      </c>
      <c r="F317" s="3" t="s">
        <v>96</v>
      </c>
    </row>
    <row r="318" spans="1:6" x14ac:dyDescent="0.3">
      <c r="A318" s="8"/>
      <c r="B318" s="4">
        <v>9008</v>
      </c>
      <c r="C318" s="4">
        <v>0.47200000000000009</v>
      </c>
      <c r="D318" s="3" t="str">
        <f t="shared" si="8"/>
        <v>Play central-Libertador</v>
      </c>
      <c r="E318" s="3" t="str">
        <f t="shared" si="9"/>
        <v>Inmaduro</v>
      </c>
      <c r="F318" s="3" t="s">
        <v>96</v>
      </c>
    </row>
    <row r="319" spans="1:6" x14ac:dyDescent="0.3">
      <c r="A319" s="8"/>
      <c r="B319" s="4">
        <v>9220</v>
      </c>
      <c r="C319" s="4">
        <v>0.504</v>
      </c>
      <c r="D319" s="3" t="str">
        <f t="shared" si="8"/>
        <v>Play central-Libertador</v>
      </c>
      <c r="E319" s="3" t="str">
        <f t="shared" si="9"/>
        <v>Inmaduro</v>
      </c>
      <c r="F319" s="3" t="s">
        <v>86</v>
      </c>
    </row>
    <row r="320" spans="1:6" x14ac:dyDescent="0.3">
      <c r="A320" s="8"/>
      <c r="B320" s="4">
        <v>9744</v>
      </c>
      <c r="C320" s="4">
        <v>0.57999999999999996</v>
      </c>
      <c r="D320" s="3" t="str">
        <f t="shared" ref="D320:D360" si="10">IF(B320&lt;4900, "Play subandino-Bermejo", IF(B320&lt;=6000, "Play oriental ITT", "Play central-Libertador"))</f>
        <v>Play central-Libertador</v>
      </c>
      <c r="E320" s="3" t="str">
        <f t="shared" si="9"/>
        <v>Madurez Temprana</v>
      </c>
      <c r="F320" s="3" t="s">
        <v>96</v>
      </c>
    </row>
    <row r="321" spans="1:6" x14ac:dyDescent="0.3">
      <c r="A321" s="8"/>
      <c r="B321" s="4">
        <v>10070</v>
      </c>
      <c r="C321" s="4">
        <v>0.6556249999999999</v>
      </c>
      <c r="D321" s="3" t="str">
        <f t="shared" si="10"/>
        <v>Play central-Libertador</v>
      </c>
      <c r="E321" s="3" t="str">
        <f t="shared" ref="E321:E360" si="11">IF(C321&lt;0.55, "Inmaduro", IF(C321&lt;0.7, "Madurez Temprana",IF(C321&lt;=1,"Maduro","Sobremaduro")))</f>
        <v>Madurez Temprana</v>
      </c>
      <c r="F321" s="3" t="s">
        <v>96</v>
      </c>
    </row>
    <row r="322" spans="1:6" x14ac:dyDescent="0.3">
      <c r="A322" s="8" t="s">
        <v>70</v>
      </c>
      <c r="B322" s="4" cm="1">
        <f t="array" ref="B322:B324">'[1]Tiputini Shell-0001'!B128:B130</f>
        <v>4997</v>
      </c>
      <c r="C322" s="4" cm="1">
        <f t="array" ref="C322:C324">'[1]Tiputini Shell-0001'!C128:C130</f>
        <v>0.49</v>
      </c>
      <c r="D322" s="3" t="str">
        <f t="shared" si="10"/>
        <v>Play oriental ITT</v>
      </c>
      <c r="E322" s="3" t="str">
        <f t="shared" si="11"/>
        <v>Inmaduro</v>
      </c>
      <c r="F322" s="3" t="s">
        <v>96</v>
      </c>
    </row>
    <row r="323" spans="1:6" x14ac:dyDescent="0.3">
      <c r="A323" s="8"/>
      <c r="B323" s="4">
        <v>5043</v>
      </c>
      <c r="C323" s="4">
        <v>0.5</v>
      </c>
      <c r="D323" s="3" t="str">
        <f t="shared" si="10"/>
        <v>Play oriental ITT</v>
      </c>
      <c r="E323" s="3" t="str">
        <f t="shared" si="11"/>
        <v>Inmaduro</v>
      </c>
      <c r="F323" s="3" t="s">
        <v>96</v>
      </c>
    </row>
    <row r="324" spans="1:6" x14ac:dyDescent="0.3">
      <c r="A324" s="8"/>
      <c r="B324" s="4">
        <v>5127</v>
      </c>
      <c r="C324" s="4">
        <v>0.5116666666666666</v>
      </c>
      <c r="D324" s="3" t="str">
        <f t="shared" si="10"/>
        <v>Play oriental ITT</v>
      </c>
      <c r="E324" s="3" t="str">
        <f t="shared" si="11"/>
        <v>Inmaduro</v>
      </c>
      <c r="F324" s="3" t="s">
        <v>84</v>
      </c>
    </row>
    <row r="325" spans="1:6" x14ac:dyDescent="0.3">
      <c r="A325" s="8" t="s">
        <v>71</v>
      </c>
      <c r="B325" s="4" cm="1">
        <f t="array" ref="B325:B329">'[1]Tambococha-0001'!B128:B132</f>
        <v>4810</v>
      </c>
      <c r="C325" s="4" cm="1">
        <f t="array" ref="C325:C329">'[1]Tambococha-0001'!C128:C132</f>
        <v>0.4204761904761905</v>
      </c>
      <c r="D325" s="3" t="s">
        <v>80</v>
      </c>
      <c r="E325" s="3" t="str">
        <f t="shared" si="11"/>
        <v>Inmaduro</v>
      </c>
      <c r="F325" s="3" t="s">
        <v>96</v>
      </c>
    </row>
    <row r="326" spans="1:6" x14ac:dyDescent="0.3">
      <c r="A326" s="8"/>
      <c r="B326" s="4">
        <v>4910</v>
      </c>
      <c r="C326" s="4">
        <v>0.44</v>
      </c>
      <c r="D326" s="3" t="str">
        <f t="shared" si="10"/>
        <v>Play oriental ITT</v>
      </c>
      <c r="E326" s="3" t="str">
        <f t="shared" si="11"/>
        <v>Inmaduro</v>
      </c>
      <c r="F326" s="3" t="s">
        <v>96</v>
      </c>
    </row>
    <row r="327" spans="1:6" x14ac:dyDescent="0.3">
      <c r="A327" s="8"/>
      <c r="B327" s="4">
        <v>5010</v>
      </c>
      <c r="C327" s="4">
        <v>0.45</v>
      </c>
      <c r="D327" s="3" t="str">
        <f t="shared" si="10"/>
        <v>Play oriental ITT</v>
      </c>
      <c r="E327" s="3" t="str">
        <f t="shared" si="11"/>
        <v>Inmaduro</v>
      </c>
      <c r="F327" s="3" t="s">
        <v>99</v>
      </c>
    </row>
    <row r="328" spans="1:6" x14ac:dyDescent="0.3">
      <c r="A328" s="8"/>
      <c r="B328" s="4">
        <v>5110</v>
      </c>
      <c r="C328" s="4">
        <v>0.46</v>
      </c>
      <c r="D328" s="3" t="str">
        <f t="shared" si="10"/>
        <v>Play oriental ITT</v>
      </c>
      <c r="E328" s="3" t="str">
        <f t="shared" si="11"/>
        <v>Inmaduro</v>
      </c>
      <c r="F328" s="3" t="s">
        <v>90</v>
      </c>
    </row>
    <row r="329" spans="1:6" x14ac:dyDescent="0.3">
      <c r="A329" s="8"/>
      <c r="B329" s="4">
        <v>5200</v>
      </c>
      <c r="C329" s="4">
        <v>0.48333333333333334</v>
      </c>
      <c r="D329" s="3" t="str">
        <f t="shared" si="10"/>
        <v>Play oriental ITT</v>
      </c>
      <c r="E329" s="3" t="str">
        <f t="shared" si="11"/>
        <v>Inmaduro</v>
      </c>
      <c r="F329" s="3" t="s">
        <v>101</v>
      </c>
    </row>
    <row r="330" spans="1:6" x14ac:dyDescent="0.3">
      <c r="A330" s="8"/>
      <c r="B330" s="4">
        <f>'[1]Tambococha-0001'!B135</f>
        <v>5610</v>
      </c>
      <c r="C330" s="4">
        <f>'[1]Tambococha-0001'!C135</f>
        <v>0.53</v>
      </c>
      <c r="D330" s="3" t="str">
        <f t="shared" si="10"/>
        <v>Play oriental ITT</v>
      </c>
      <c r="E330" s="3" t="str">
        <f t="shared" si="11"/>
        <v>Inmaduro</v>
      </c>
      <c r="F330" s="3" t="s">
        <v>92</v>
      </c>
    </row>
    <row r="331" spans="1:6" x14ac:dyDescent="0.3">
      <c r="A331" s="8" t="s">
        <v>72</v>
      </c>
      <c r="B331" s="4" cm="1">
        <f t="array" ref="B331:B333">'[1]Ishpingo-0002'!B128:B130</f>
        <v>5050</v>
      </c>
      <c r="C331" s="4" cm="1">
        <f t="array" ref="C331:C333">'[1]Ishpingo-0002'!C128:C130</f>
        <v>0.40666666666666668</v>
      </c>
      <c r="D331" s="3" t="str">
        <f t="shared" si="10"/>
        <v>Play oriental ITT</v>
      </c>
      <c r="E331" s="3" t="str">
        <f t="shared" si="11"/>
        <v>Inmaduro</v>
      </c>
      <c r="F331" s="3" t="s">
        <v>96</v>
      </c>
    </row>
    <row r="332" spans="1:6" x14ac:dyDescent="0.3">
      <c r="A332" s="8"/>
      <c r="B332" s="4">
        <v>5250</v>
      </c>
      <c r="C332" s="4">
        <v>0.43333333333333335</v>
      </c>
      <c r="D332" s="3" t="str">
        <f t="shared" si="10"/>
        <v>Play oriental ITT</v>
      </c>
      <c r="E332" s="3" t="str">
        <f t="shared" si="11"/>
        <v>Inmaduro</v>
      </c>
      <c r="F332" s="3" t="s">
        <v>86</v>
      </c>
    </row>
    <row r="333" spans="1:6" x14ac:dyDescent="0.3">
      <c r="A333" s="8"/>
      <c r="B333" s="4">
        <v>5350</v>
      </c>
      <c r="C333" s="4">
        <v>0.45</v>
      </c>
      <c r="D333" s="3" t="str">
        <f t="shared" si="10"/>
        <v>Play oriental ITT</v>
      </c>
      <c r="E333" s="3" t="str">
        <f t="shared" si="11"/>
        <v>Inmaduro</v>
      </c>
      <c r="F333" s="3" t="s">
        <v>84</v>
      </c>
    </row>
    <row r="334" spans="1:6" x14ac:dyDescent="0.3">
      <c r="A334" s="8"/>
      <c r="B334" s="4" cm="1">
        <f t="array" ref="B334:B335">'[1]Ishpingo-0002'!B132:B133</f>
        <v>5362.5</v>
      </c>
      <c r="C334" s="4" cm="1">
        <f t="array" ref="C334:C335">'[1]Ishpingo-0002'!C132:C133</f>
        <v>0.45400000000000001</v>
      </c>
      <c r="D334" s="3" t="str">
        <f t="shared" si="10"/>
        <v>Play oriental ITT</v>
      </c>
      <c r="E334" s="3" t="str">
        <f t="shared" si="11"/>
        <v>Inmaduro</v>
      </c>
      <c r="F334" s="3" t="s">
        <v>84</v>
      </c>
    </row>
    <row r="335" spans="1:6" x14ac:dyDescent="0.3">
      <c r="A335" s="8"/>
      <c r="B335" s="4">
        <v>5374</v>
      </c>
      <c r="C335" s="4">
        <v>0.47249999999999998</v>
      </c>
      <c r="D335" s="3" t="str">
        <f t="shared" si="10"/>
        <v>Play oriental ITT</v>
      </c>
      <c r="E335" s="3" t="str">
        <f t="shared" si="11"/>
        <v>Inmaduro</v>
      </c>
      <c r="F335" s="3" t="s">
        <v>84</v>
      </c>
    </row>
    <row r="336" spans="1:6" x14ac:dyDescent="0.3">
      <c r="A336" s="8"/>
      <c r="B336" s="4" cm="1">
        <f t="array" ref="B336:B338">'[1]Ishpingo-0002'!B137:B139</f>
        <v>5393.5</v>
      </c>
      <c r="C336" s="4" cm="1">
        <f t="array" ref="C336:C338">'[1]Ishpingo-0002'!C137:C139</f>
        <v>0.47000000000000003</v>
      </c>
      <c r="D336" s="3" t="str">
        <f t="shared" si="10"/>
        <v>Play oriental ITT</v>
      </c>
      <c r="E336" s="3" t="str">
        <f t="shared" si="11"/>
        <v>Inmaduro</v>
      </c>
      <c r="F336" s="3" t="s">
        <v>84</v>
      </c>
    </row>
    <row r="337" spans="1:6" x14ac:dyDescent="0.3">
      <c r="A337" s="8"/>
      <c r="B337" s="4">
        <v>5397</v>
      </c>
      <c r="C337" s="4">
        <v>0.47</v>
      </c>
      <c r="D337" s="3" t="str">
        <f t="shared" si="10"/>
        <v>Play oriental ITT</v>
      </c>
      <c r="E337" s="3" t="str">
        <f t="shared" si="11"/>
        <v>Inmaduro</v>
      </c>
      <c r="F337" s="3" t="s">
        <v>84</v>
      </c>
    </row>
    <row r="338" spans="1:6" x14ac:dyDescent="0.3">
      <c r="A338" s="8"/>
      <c r="B338" s="4">
        <v>5414.5</v>
      </c>
      <c r="C338" s="4">
        <v>0.48</v>
      </c>
      <c r="D338" s="3" t="str">
        <f t="shared" si="10"/>
        <v>Play oriental ITT</v>
      </c>
      <c r="E338" s="3" t="str">
        <f t="shared" si="11"/>
        <v>Inmaduro</v>
      </c>
      <c r="F338" s="3" t="s">
        <v>84</v>
      </c>
    </row>
    <row r="339" spans="1:6" x14ac:dyDescent="0.3">
      <c r="A339" s="8"/>
      <c r="B339" s="4" cm="1">
        <f t="array" ref="B339:B341">'[1]Ishpingo-0002'!B141:B143</f>
        <v>5550</v>
      </c>
      <c r="C339" s="4" cm="1">
        <f t="array" ref="C339:C341">'[1]Ishpingo-0002'!C141:C143</f>
        <v>0.48</v>
      </c>
      <c r="D339" s="3" t="str">
        <f t="shared" si="10"/>
        <v>Play oriental ITT</v>
      </c>
      <c r="E339" s="3" t="str">
        <f t="shared" si="11"/>
        <v>Inmaduro</v>
      </c>
      <c r="F339" s="3" t="s">
        <v>92</v>
      </c>
    </row>
    <row r="340" spans="1:6" x14ac:dyDescent="0.3">
      <c r="A340" s="8"/>
      <c r="B340" s="4">
        <v>5670</v>
      </c>
      <c r="C340" s="4">
        <v>0.505</v>
      </c>
      <c r="D340" s="3" t="str">
        <f t="shared" si="10"/>
        <v>Play oriental ITT</v>
      </c>
      <c r="E340" s="3" t="str">
        <f t="shared" si="11"/>
        <v>Inmaduro</v>
      </c>
      <c r="F340" s="3" t="s">
        <v>92</v>
      </c>
    </row>
    <row r="341" spans="1:6" x14ac:dyDescent="0.3">
      <c r="A341" s="8"/>
      <c r="B341" s="4">
        <v>5790</v>
      </c>
      <c r="C341" s="4">
        <v>0.52</v>
      </c>
      <c r="D341" s="3" t="str">
        <f t="shared" si="10"/>
        <v>Play oriental ITT</v>
      </c>
      <c r="E341" s="3" t="str">
        <f t="shared" si="11"/>
        <v>Inmaduro</v>
      </c>
      <c r="F341" s="3" t="s">
        <v>96</v>
      </c>
    </row>
    <row r="342" spans="1:6" x14ac:dyDescent="0.3">
      <c r="A342" s="8" t="s">
        <v>73</v>
      </c>
      <c r="B342" s="4" cm="1">
        <f t="array" ref="B342:B344">'[1]Ishpingo-0001'!B128:B130</f>
        <v>4910</v>
      </c>
      <c r="C342" s="4" cm="1">
        <f t="array" ref="C342:C344">'[1]Ishpingo-0001'!C128:C130</f>
        <v>0.38</v>
      </c>
      <c r="D342" s="3" t="str">
        <f t="shared" si="10"/>
        <v>Play oriental ITT</v>
      </c>
      <c r="E342" s="3" t="str">
        <f t="shared" si="11"/>
        <v>Inmaduro</v>
      </c>
      <c r="F342" s="3" t="s">
        <v>100</v>
      </c>
    </row>
    <row r="343" spans="1:6" x14ac:dyDescent="0.3">
      <c r="A343" s="8"/>
      <c r="B343" s="4">
        <v>5010</v>
      </c>
      <c r="C343" s="4">
        <v>0.41037037037037039</v>
      </c>
      <c r="D343" s="3" t="str">
        <f t="shared" si="10"/>
        <v>Play oriental ITT</v>
      </c>
      <c r="E343" s="3" t="str">
        <f t="shared" si="11"/>
        <v>Inmaduro</v>
      </c>
      <c r="F343" s="3" t="s">
        <v>102</v>
      </c>
    </row>
    <row r="344" spans="1:6" x14ac:dyDescent="0.3">
      <c r="A344" s="8"/>
      <c r="B344" s="4">
        <v>5110</v>
      </c>
      <c r="C344" s="4">
        <v>0.42333333333333334</v>
      </c>
      <c r="D344" s="3" t="str">
        <f t="shared" si="10"/>
        <v>Play oriental ITT</v>
      </c>
      <c r="E344" s="3" t="str">
        <f t="shared" si="11"/>
        <v>Inmaduro</v>
      </c>
      <c r="F344" s="3" t="s">
        <v>102</v>
      </c>
    </row>
    <row r="345" spans="1:6" x14ac:dyDescent="0.3">
      <c r="A345" s="8"/>
      <c r="B345" s="4" cm="1">
        <f t="array" ref="B345:B346">'[1]Ishpingo-0001'!B133:B134</f>
        <v>5430</v>
      </c>
      <c r="C345" s="4" cm="1">
        <f t="array" ref="C345:C346">'[1]Ishpingo-0001'!C133:C134</f>
        <v>0.46</v>
      </c>
      <c r="D345" s="3" t="str">
        <f t="shared" si="10"/>
        <v>Play oriental ITT</v>
      </c>
      <c r="E345" s="3" t="str">
        <f t="shared" si="11"/>
        <v>Inmaduro</v>
      </c>
      <c r="F345" s="3" t="s">
        <v>90</v>
      </c>
    </row>
    <row r="346" spans="1:6" x14ac:dyDescent="0.3">
      <c r="A346" s="8"/>
      <c r="B346" s="4">
        <v>5600</v>
      </c>
      <c r="C346" s="4">
        <v>0.48</v>
      </c>
      <c r="D346" s="3" t="str">
        <f t="shared" si="10"/>
        <v>Play oriental ITT</v>
      </c>
      <c r="E346" s="3" t="str">
        <f t="shared" si="11"/>
        <v>Inmaduro</v>
      </c>
      <c r="F346" s="3" t="s">
        <v>83</v>
      </c>
    </row>
    <row r="347" spans="1:6" x14ac:dyDescent="0.3">
      <c r="A347" s="8"/>
      <c r="B347" s="4">
        <f>'[1]Ishpingo-0001'!B137</f>
        <v>5820</v>
      </c>
      <c r="C347" s="4">
        <f>'[1]Ishpingo-0001'!C137</f>
        <v>0.52</v>
      </c>
      <c r="D347" s="3" t="str">
        <f t="shared" si="10"/>
        <v>Play oriental ITT</v>
      </c>
      <c r="E347" s="3" t="str">
        <f t="shared" si="11"/>
        <v>Inmaduro</v>
      </c>
      <c r="F347" s="3" t="s">
        <v>91</v>
      </c>
    </row>
    <row r="348" spans="1:6" x14ac:dyDescent="0.3">
      <c r="A348" s="8" t="s">
        <v>74</v>
      </c>
      <c r="B348" s="4" cm="1">
        <f t="array" ref="B348:B349">'[1]Manati-0001'!B128:B129</f>
        <v>11560</v>
      </c>
      <c r="C348" s="4" cm="1">
        <f t="array" ref="C348:C349">'[1]Manati-0001'!C128:C129</f>
        <v>1.018</v>
      </c>
      <c r="D348" s="3" t="str">
        <f t="shared" si="10"/>
        <v>Play central-Libertador</v>
      </c>
      <c r="E348" s="3" t="str">
        <f t="shared" si="11"/>
        <v>Sobremaduro</v>
      </c>
      <c r="F348" s="3" t="s">
        <v>91</v>
      </c>
    </row>
    <row r="349" spans="1:6" x14ac:dyDescent="0.3">
      <c r="A349" s="8"/>
      <c r="B349" s="4">
        <v>11860</v>
      </c>
      <c r="C349" s="4">
        <v>1.0766666666666667</v>
      </c>
      <c r="D349" s="3" t="str">
        <f t="shared" si="10"/>
        <v>Play central-Libertador</v>
      </c>
      <c r="E349" s="3" t="str">
        <f t="shared" si="11"/>
        <v>Sobremaduro</v>
      </c>
      <c r="F349" s="3" t="s">
        <v>91</v>
      </c>
    </row>
    <row r="350" spans="1:6" x14ac:dyDescent="0.3">
      <c r="A350" s="8"/>
      <c r="B350" s="4">
        <f>'[1]Manati-0001'!B131</f>
        <v>12420</v>
      </c>
      <c r="C350" s="4">
        <f>'[1]Manati-0001'!C131</f>
        <v>1.1633333333333333</v>
      </c>
      <c r="D350" s="3" t="str">
        <f t="shared" si="10"/>
        <v>Play central-Libertador</v>
      </c>
      <c r="E350" s="3" t="str">
        <f t="shared" si="11"/>
        <v>Sobremaduro</v>
      </c>
      <c r="F350" s="3" t="s">
        <v>91</v>
      </c>
    </row>
    <row r="351" spans="1:6" x14ac:dyDescent="0.3">
      <c r="A351" s="8" t="s">
        <v>75</v>
      </c>
      <c r="B351" s="4" cm="1">
        <f t="array" ref="B351:B354">'[1]Shionayacu-0001'!B128:B131</f>
        <v>11673</v>
      </c>
      <c r="C351" s="4">
        <v>1.03</v>
      </c>
      <c r="D351" s="3" t="str">
        <f t="shared" si="10"/>
        <v>Play central-Libertador</v>
      </c>
      <c r="E351" s="3" t="str">
        <f t="shared" si="11"/>
        <v>Sobremaduro</v>
      </c>
      <c r="F351" s="3" t="s">
        <v>84</v>
      </c>
    </row>
    <row r="352" spans="1:6" x14ac:dyDescent="0.3">
      <c r="A352" s="8"/>
      <c r="B352" s="4">
        <v>11679</v>
      </c>
      <c r="C352" s="4">
        <v>1.03</v>
      </c>
      <c r="D352" s="3" t="str">
        <f t="shared" si="10"/>
        <v>Play central-Libertador</v>
      </c>
      <c r="E352" s="3" t="str">
        <f t="shared" si="11"/>
        <v>Sobremaduro</v>
      </c>
      <c r="F352" s="3" t="s">
        <v>84</v>
      </c>
    </row>
    <row r="353" spans="1:6" x14ac:dyDescent="0.3">
      <c r="A353" s="8"/>
      <c r="B353" s="4">
        <v>11681</v>
      </c>
      <c r="C353" s="4">
        <v>1.03</v>
      </c>
      <c r="D353" s="3" t="str">
        <f t="shared" si="10"/>
        <v>Play central-Libertador</v>
      </c>
      <c r="E353" s="3" t="str">
        <f t="shared" si="11"/>
        <v>Sobremaduro</v>
      </c>
      <c r="F353" s="3" t="s">
        <v>84</v>
      </c>
    </row>
    <row r="354" spans="1:6" x14ac:dyDescent="0.3">
      <c r="A354" s="8"/>
      <c r="B354" s="4">
        <v>11681.8</v>
      </c>
      <c r="C354" s="4">
        <v>1.03</v>
      </c>
      <c r="D354" s="3" t="str">
        <f t="shared" si="10"/>
        <v>Play central-Libertador</v>
      </c>
      <c r="E354" s="3" t="str">
        <f t="shared" si="11"/>
        <v>Sobremaduro</v>
      </c>
      <c r="F354" s="3" t="s">
        <v>84</v>
      </c>
    </row>
    <row r="355" spans="1:6" x14ac:dyDescent="0.3">
      <c r="A355" s="5" t="s">
        <v>76</v>
      </c>
      <c r="B355" s="4">
        <f>'[1]Amazonas-0001'!B128</f>
        <v>9689</v>
      </c>
      <c r="C355" s="4">
        <f>'[1]Amazonas-0001'!C128</f>
        <v>0.73499999999999999</v>
      </c>
      <c r="D355" s="3" t="str">
        <f t="shared" si="10"/>
        <v>Play central-Libertador</v>
      </c>
      <c r="E355" s="3" t="str">
        <f t="shared" si="11"/>
        <v>Maduro</v>
      </c>
      <c r="F355" s="3" t="s">
        <v>91</v>
      </c>
    </row>
    <row r="356" spans="1:6" x14ac:dyDescent="0.3">
      <c r="A356" s="8" t="s">
        <v>77</v>
      </c>
      <c r="B356" s="4" cm="1">
        <f t="array" ref="B356:B357">'[1]Conambo-0001'!B128:B129</f>
        <v>9220</v>
      </c>
      <c r="C356" s="4" cm="1">
        <f t="array" ref="C356:C357">'[1]Conambo-0001'!C128:C129</f>
        <v>0.53999999999999992</v>
      </c>
      <c r="D356" s="3" t="str">
        <f t="shared" si="10"/>
        <v>Play central-Libertador</v>
      </c>
      <c r="E356" s="3" t="str">
        <f t="shared" si="11"/>
        <v>Inmaduro</v>
      </c>
      <c r="F356" s="3" t="s">
        <v>100</v>
      </c>
    </row>
    <row r="357" spans="1:6" x14ac:dyDescent="0.3">
      <c r="A357" s="8"/>
      <c r="B357" s="4">
        <v>9620</v>
      </c>
      <c r="C357" s="4">
        <v>0.58249999999999991</v>
      </c>
      <c r="D357" s="3" t="str">
        <f t="shared" si="10"/>
        <v>Play central-Libertador</v>
      </c>
      <c r="E357" s="3" t="str">
        <f t="shared" si="11"/>
        <v>Madurez Temprana</v>
      </c>
      <c r="F357" s="3" t="s">
        <v>87</v>
      </c>
    </row>
    <row r="358" spans="1:6" x14ac:dyDescent="0.3">
      <c r="A358" s="8"/>
      <c r="B358" s="4">
        <f>'[1]Conambo-0001'!B132</f>
        <v>10080</v>
      </c>
      <c r="C358" s="4">
        <f>'[1]Conambo-0001'!C132</f>
        <v>0.76</v>
      </c>
      <c r="D358" s="3" t="str">
        <f t="shared" si="10"/>
        <v>Play central-Libertador</v>
      </c>
      <c r="E358" s="3" t="str">
        <f t="shared" si="11"/>
        <v>Maduro</v>
      </c>
      <c r="F358" s="3" t="s">
        <v>88</v>
      </c>
    </row>
    <row r="359" spans="1:6" x14ac:dyDescent="0.3">
      <c r="A359" s="7" t="s">
        <v>78</v>
      </c>
      <c r="B359" s="4">
        <f>'[1]Huito-0001'!B128</f>
        <v>9479</v>
      </c>
      <c r="C359" s="4">
        <f>'[1]Huito-0001'!C128</f>
        <v>0.74</v>
      </c>
      <c r="D359" s="3" t="str">
        <f t="shared" si="10"/>
        <v>Play central-Libertador</v>
      </c>
      <c r="E359" s="3" t="str">
        <f t="shared" si="11"/>
        <v>Maduro</v>
      </c>
      <c r="F359" s="3" t="s">
        <v>87</v>
      </c>
    </row>
    <row r="360" spans="1:6" x14ac:dyDescent="0.3">
      <c r="A360" s="7" t="s">
        <v>79</v>
      </c>
      <c r="B360" s="4">
        <f>'[1]Marañon-0001'!B128</f>
        <v>9618</v>
      </c>
      <c r="C360" s="4">
        <f>'[1]Marañon-0001'!C128</f>
        <v>0.69000000000000006</v>
      </c>
      <c r="D360" s="3" t="str">
        <f t="shared" si="10"/>
        <v>Play central-Libertador</v>
      </c>
      <c r="E360" s="3" t="str">
        <f t="shared" si="11"/>
        <v>Madurez Temprana</v>
      </c>
      <c r="F360" s="3" t="s">
        <v>87</v>
      </c>
    </row>
  </sheetData>
  <mergeCells count="55">
    <mergeCell ref="A66:A69"/>
    <mergeCell ref="A2:A3"/>
    <mergeCell ref="A4:A5"/>
    <mergeCell ref="A9:A10"/>
    <mergeCell ref="A11:A30"/>
    <mergeCell ref="A31:A33"/>
    <mergeCell ref="A34:A36"/>
    <mergeCell ref="A38:A39"/>
    <mergeCell ref="A41:A56"/>
    <mergeCell ref="A57:A58"/>
    <mergeCell ref="A59:A65"/>
    <mergeCell ref="A150:A151"/>
    <mergeCell ref="A70:A72"/>
    <mergeCell ref="A73:A76"/>
    <mergeCell ref="A77:A97"/>
    <mergeCell ref="A100:A110"/>
    <mergeCell ref="A111:A113"/>
    <mergeCell ref="A114:A115"/>
    <mergeCell ref="A116:A118"/>
    <mergeCell ref="A119:A123"/>
    <mergeCell ref="A128:A136"/>
    <mergeCell ref="A137:A141"/>
    <mergeCell ref="A143:A149"/>
    <mergeCell ref="A252:A264"/>
    <mergeCell ref="A153:A155"/>
    <mergeCell ref="A157:A162"/>
    <mergeCell ref="A164:A183"/>
    <mergeCell ref="A184:A196"/>
    <mergeCell ref="A197:A201"/>
    <mergeCell ref="A202:A205"/>
    <mergeCell ref="A206:A227"/>
    <mergeCell ref="A228:A229"/>
    <mergeCell ref="A230:A233"/>
    <mergeCell ref="A236:A241"/>
    <mergeCell ref="A243:A251"/>
    <mergeCell ref="A313:A314"/>
    <mergeCell ref="A265:A274"/>
    <mergeCell ref="A275:A276"/>
    <mergeCell ref="A277:A279"/>
    <mergeCell ref="A282:A285"/>
    <mergeCell ref="A286:A288"/>
    <mergeCell ref="A289:A290"/>
    <mergeCell ref="A291:A293"/>
    <mergeCell ref="A294:A296"/>
    <mergeCell ref="A297:A299"/>
    <mergeCell ref="A300:A303"/>
    <mergeCell ref="A304:A312"/>
    <mergeCell ref="A351:A354"/>
    <mergeCell ref="A356:A358"/>
    <mergeCell ref="A315:A321"/>
    <mergeCell ref="A322:A324"/>
    <mergeCell ref="A325:A330"/>
    <mergeCell ref="A331:A341"/>
    <mergeCell ref="A342:A347"/>
    <mergeCell ref="A348:A3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DE LA CRUZ CAYAMBE</dc:creator>
  <cp:lastModifiedBy>JOSE LUIS DE LA CRUZ CAYAMBE</cp:lastModifiedBy>
  <dcterms:created xsi:type="dcterms:W3CDTF">2026-10-02T01:31:12Z</dcterms:created>
  <dcterms:modified xsi:type="dcterms:W3CDTF">2026-10-21T03:30:04Z</dcterms:modified>
</cp:coreProperties>
</file>